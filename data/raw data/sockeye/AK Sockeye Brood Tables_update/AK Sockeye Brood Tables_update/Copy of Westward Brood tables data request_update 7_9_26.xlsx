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foster\Documents\"/>
    </mc:Choice>
  </mc:AlternateContent>
  <xr:revisionPtr revIDLastSave="0" documentId="13_ncr:1_{D05CB0E3-2121-4728-BA99-72F307126F08}" xr6:coauthVersionLast="47" xr6:coauthVersionMax="47" xr10:uidLastSave="{00000000-0000-0000-0000-000000000000}"/>
  <bookViews>
    <workbookView xWindow="-108" yWindow="-108" windowWidth="41496" windowHeight="16776" activeTab="4" xr2:uid="{95011940-B95E-4A97-93DB-10DDE5434BB6}"/>
  </bookViews>
  <sheets>
    <sheet name="Upper Stn Late" sheetId="6" r:id="rId1"/>
    <sheet name="Upper Stn Early" sheetId="5" r:id="rId2"/>
    <sheet name="Frazer" sheetId="4" r:id="rId3"/>
    <sheet name="Ayakulik" sheetId="3" r:id="rId4"/>
    <sheet name="Karluk Late" sheetId="2" r:id="rId5"/>
    <sheet name="Karluk Early" sheetId="1" r:id="rId6"/>
    <sheet name="chignik early" sheetId="11" r:id="rId7"/>
    <sheet name="chignik late" sheetId="12" r:id="rId8"/>
    <sheet name="Bear LR Brood" sheetId="10" r:id="rId9"/>
    <sheet name="Nelson" sheetId="9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Regression_Out" hidden="1">[1]KARLBR95!#REF!</definedName>
    <definedName name="_Regression_X" hidden="1">[1]KARLBR95!#REF!</definedName>
    <definedName name="_Regression_Y" hidden="1">[1]KARLBR95!#REF!</definedName>
    <definedName name="A_l">[2]agecomp!$P$6:$P$19</definedName>
    <definedName name="aa">#REF!</definedName>
    <definedName name="alpha">[2]agecomp!$O$23:$O$36</definedName>
    <definedName name="B_0">[3]FRI_Model!$K$4</definedName>
    <definedName name="B_1">[3]FRI_Model!$L$4</definedName>
    <definedName name="B_2">[3]FRI_Model!$M$4</definedName>
    <definedName name="B_3">[3]FRI_Model!#REF!</definedName>
    <definedName name="bb">#REF!</definedName>
    <definedName name="cc">#REF!</definedName>
    <definedName name="L">[2]agecomp!$O$20</definedName>
    <definedName name="Print_Area_MI">[4]Tab61!$A$1:$V$41</definedName>
    <definedName name="regout" hidden="1">[1]KARLBR95!#REF!</definedName>
    <definedName name="Theta">[2]agecomp!$F$23:$M$36</definedName>
    <definedName name="theta_a">[2]agecomp!$F$39:$M$39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4" i="11" l="1"/>
  <c r="Z44" i="11"/>
  <c r="AA43" i="11"/>
  <c r="Z43" i="11"/>
  <c r="AA42" i="11"/>
  <c r="Z42" i="11"/>
  <c r="AA41" i="11"/>
  <c r="Z41" i="11"/>
  <c r="AA40" i="11"/>
  <c r="Z40" i="11"/>
  <c r="AA39" i="11"/>
  <c r="Z39" i="11"/>
  <c r="AA38" i="11"/>
  <c r="Z38" i="11"/>
  <c r="AA37" i="11"/>
  <c r="Z37" i="11"/>
  <c r="AA36" i="11"/>
  <c r="Z36" i="11"/>
  <c r="AA35" i="11"/>
  <c r="Z35" i="11"/>
  <c r="AA34" i="11"/>
  <c r="Z34" i="11"/>
  <c r="AA33" i="11"/>
  <c r="Z33" i="11"/>
  <c r="AA32" i="11"/>
  <c r="Z32" i="11"/>
  <c r="AA31" i="11"/>
  <c r="Z31" i="11"/>
  <c r="AA30" i="11"/>
  <c r="Z30" i="11"/>
  <c r="AA29" i="11"/>
  <c r="Z29" i="11"/>
  <c r="AA28" i="11"/>
  <c r="Z28" i="11"/>
  <c r="AA27" i="11"/>
  <c r="Z27" i="11"/>
  <c r="AA26" i="11"/>
  <c r="Z26" i="11"/>
  <c r="AA25" i="11"/>
  <c r="Z25" i="11"/>
  <c r="AA24" i="11"/>
  <c r="Z24" i="11"/>
  <c r="AA23" i="11"/>
  <c r="Z23" i="11"/>
  <c r="AA22" i="11"/>
  <c r="Z22" i="11"/>
  <c r="AA21" i="11"/>
  <c r="Z21" i="11"/>
  <c r="AA20" i="11"/>
  <c r="Z20" i="11"/>
  <c r="AA19" i="11"/>
  <c r="Z19" i="11"/>
  <c r="AA18" i="11"/>
  <c r="Z18" i="11"/>
  <c r="AA17" i="11"/>
  <c r="Z17" i="11"/>
  <c r="AA16" i="11"/>
  <c r="Z16" i="11"/>
  <c r="AA15" i="11"/>
  <c r="Z15" i="11"/>
  <c r="AA14" i="11"/>
  <c r="Z14" i="11"/>
  <c r="AA13" i="11"/>
  <c r="Z13" i="11"/>
  <c r="AA12" i="11"/>
  <c r="Z12" i="11"/>
  <c r="AA11" i="11"/>
  <c r="Z11" i="11"/>
  <c r="AA10" i="11"/>
  <c r="Z10" i="11"/>
</calcChain>
</file>

<file path=xl/sharedStrings.xml><?xml version="1.0" encoding="utf-8"?>
<sst xmlns="http://schemas.openxmlformats.org/spreadsheetml/2006/main" count="80" uniqueCount="36">
  <si>
    <t>Brood</t>
  </si>
  <si>
    <t>Ages</t>
  </si>
  <si>
    <t>Year</t>
  </si>
  <si>
    <t>Escap.</t>
  </si>
  <si>
    <t>Karluk Early Run Sockeye</t>
  </si>
  <si>
    <t>Karluk Late Run Sockeye</t>
  </si>
  <si>
    <t>Ayakulik Sockeye</t>
  </si>
  <si>
    <t>Escapement</t>
  </si>
  <si>
    <t>Age</t>
  </si>
  <si>
    <t xml:space="preserve">   2.3</t>
  </si>
  <si>
    <t>3.4 or 4.3</t>
  </si>
  <si>
    <t>Frazer LK</t>
  </si>
  <si>
    <t>Frazer Sockeye</t>
  </si>
  <si>
    <t>Upper Station Early Sockeye</t>
  </si>
  <si>
    <t>Upper Station Late sockeye</t>
  </si>
  <si>
    <t>Chignik late-run sockeye salmon</t>
  </si>
  <si>
    <t>0.2</t>
  </si>
  <si>
    <t>1.1</t>
  </si>
  <si>
    <t>0.3</t>
  </si>
  <si>
    <t>1.2</t>
  </si>
  <si>
    <t>2.1</t>
  </si>
  <si>
    <t>1.3</t>
  </si>
  <si>
    <t>2.2</t>
  </si>
  <si>
    <t>1.4</t>
  </si>
  <si>
    <t>2.3</t>
  </si>
  <si>
    <t>3.2</t>
  </si>
  <si>
    <t>2.4</t>
  </si>
  <si>
    <t>3.3</t>
  </si>
  <si>
    <t>Total</t>
  </si>
  <si>
    <t>Chignik early-run sockeye salmon</t>
  </si>
  <si>
    <t>Nelson River sockeye salmon</t>
  </si>
  <si>
    <t xml:space="preserve">Year </t>
  </si>
  <si>
    <t>Return</t>
  </si>
  <si>
    <t xml:space="preserve">Bear Lake late run sockeye salmon </t>
  </si>
  <si>
    <t xml:space="preserve">Total </t>
  </si>
  <si>
    <t>Return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</si>
</sst>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\-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165" fontId="6" fillId="0" borderId="0"/>
  </cellStyleXfs>
  <cellXfs count="72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37" fontId="0" fillId="0" borderId="0" xfId="1" applyNumberFormat="1" applyFont="1"/>
    <xf numFmtId="0" fontId="2" fillId="0" borderId="0" xfId="0" applyFont="1"/>
    <xf numFmtId="0" fontId="4" fillId="0" borderId="0" xfId="0" applyFont="1"/>
    <xf numFmtId="0" fontId="3" fillId="2" borderId="2" xfId="0" applyFont="1" applyFill="1" applyBorder="1" applyAlignment="1">
      <alignment horizontal="left"/>
    </xf>
    <xf numFmtId="3" fontId="3" fillId="2" borderId="2" xfId="0" applyNumberFormat="1" applyFont="1" applyFill="1" applyBorder="1"/>
    <xf numFmtId="0" fontId="3" fillId="2" borderId="0" xfId="0" applyFont="1" applyFill="1" applyAlignment="1">
      <alignment horizontal="left"/>
    </xf>
    <xf numFmtId="3" fontId="3" fillId="2" borderId="0" xfId="0" applyNumberFormat="1" applyFont="1" applyFill="1"/>
    <xf numFmtId="3" fontId="3" fillId="2" borderId="2" xfId="0" applyNumberFormat="1" applyFont="1" applyFill="1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3" fillId="0" borderId="2" xfId="2" applyFont="1" applyBorder="1" applyAlignment="1">
      <alignment horizontal="left"/>
    </xf>
    <xf numFmtId="0" fontId="3" fillId="0" borderId="2" xfId="2" applyFont="1" applyBorder="1" applyAlignment="1">
      <alignment horizontal="center"/>
    </xf>
    <xf numFmtId="0" fontId="3" fillId="0" borderId="2" xfId="2" applyFont="1" applyBorder="1" applyAlignment="1">
      <alignment horizontal="right"/>
    </xf>
    <xf numFmtId="0" fontId="3" fillId="0" borderId="3" xfId="2" applyFont="1" applyBorder="1" applyAlignment="1">
      <alignment horizontal="left"/>
    </xf>
    <xf numFmtId="0" fontId="3" fillId="0" borderId="3" xfId="2" applyFont="1" applyBorder="1" applyAlignment="1">
      <alignment horizontal="center"/>
    </xf>
    <xf numFmtId="0" fontId="3" fillId="0" borderId="3" xfId="2" applyFont="1" applyBorder="1" applyAlignment="1">
      <alignment horizontal="right"/>
    </xf>
    <xf numFmtId="3" fontId="3" fillId="0" borderId="0" xfId="2" applyNumberFormat="1" applyFont="1" applyAlignment="1">
      <alignment horizontal="center"/>
    </xf>
    <xf numFmtId="3" fontId="3" fillId="0" borderId="0" xfId="2" applyNumberFormat="1" applyFont="1" applyAlignment="1">
      <alignment horizontal="right"/>
    </xf>
    <xf numFmtId="3" fontId="7" fillId="0" borderId="0" xfId="2" applyNumberFormat="1" applyFont="1" applyAlignment="1">
      <alignment horizontal="right"/>
    </xf>
    <xf numFmtId="0" fontId="3" fillId="0" borderId="0" xfId="2" applyFont="1" applyAlignment="1">
      <alignment horizontal="right"/>
    </xf>
    <xf numFmtId="3" fontId="3" fillId="0" borderId="0" xfId="2" applyNumberFormat="1" applyFont="1"/>
    <xf numFmtId="3" fontId="3" fillId="0" borderId="0" xfId="3" applyNumberFormat="1"/>
    <xf numFmtId="0" fontId="3" fillId="0" borderId="0" xfId="2" applyFont="1"/>
    <xf numFmtId="3" fontId="3" fillId="0" borderId="0" xfId="1" applyNumberFormat="1" applyFont="1" applyFill="1"/>
    <xf numFmtId="3" fontId="5" fillId="0" borderId="0" xfId="0" applyNumberFormat="1" applyFont="1"/>
    <xf numFmtId="0" fontId="0" fillId="0" borderId="0" xfId="0" applyAlignment="1">
      <alignment horizontal="left"/>
    </xf>
    <xf numFmtId="0" fontId="8" fillId="0" borderId="0" xfId="4" applyFont="1" applyAlignment="1">
      <alignment horizontal="left"/>
    </xf>
    <xf numFmtId="0" fontId="8" fillId="0" borderId="0" xfId="4" applyFont="1"/>
    <xf numFmtId="0" fontId="9" fillId="0" borderId="0" xfId="4" applyFont="1"/>
    <xf numFmtId="0" fontId="8" fillId="0" borderId="0" xfId="4" applyFont="1" applyAlignment="1">
      <alignment horizontal="center"/>
    </xf>
    <xf numFmtId="0" fontId="8" fillId="0" borderId="2" xfId="4" applyFont="1" applyBorder="1" applyAlignment="1">
      <alignment horizontal="left"/>
    </xf>
    <xf numFmtId="0" fontId="8" fillId="0" borderId="2" xfId="4" applyFont="1" applyBorder="1" applyAlignment="1">
      <alignment horizontal="center"/>
    </xf>
    <xf numFmtId="0" fontId="0" fillId="0" borderId="2" xfId="0" applyBorder="1"/>
    <xf numFmtId="0" fontId="8" fillId="0" borderId="3" xfId="4" applyFont="1" applyBorder="1" applyAlignment="1">
      <alignment horizontal="left"/>
    </xf>
    <xf numFmtId="0" fontId="8" fillId="0" borderId="3" xfId="4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0" fontId="8" fillId="0" borderId="1" xfId="4" applyFont="1" applyBorder="1" applyAlignment="1">
      <alignment horizontal="right"/>
    </xf>
    <xf numFmtId="0" fontId="3" fillId="0" borderId="0" xfId="4" applyFont="1" applyAlignment="1">
      <alignment horizontal="left"/>
    </xf>
    <xf numFmtId="3" fontId="3" fillId="0" borderId="0" xfId="4" applyNumberFormat="1" applyFont="1"/>
    <xf numFmtId="0" fontId="3" fillId="0" borderId="0" xfId="4" applyFont="1"/>
    <xf numFmtId="0" fontId="6" fillId="0" borderId="0" xfId="5"/>
    <xf numFmtId="3" fontId="3" fillId="0" borderId="0" xfId="4" applyNumberFormat="1" applyFont="1" applyAlignment="1">
      <alignment horizontal="right"/>
    </xf>
    <xf numFmtId="3" fontId="3" fillId="0" borderId="0" xfId="6" applyNumberFormat="1" applyAlignment="1">
      <alignment horizontal="right"/>
    </xf>
    <xf numFmtId="3" fontId="6" fillId="0" borderId="0" xfId="7" applyNumberFormat="1"/>
    <xf numFmtId="0" fontId="3" fillId="0" borderId="1" xfId="2" applyFont="1" applyBorder="1" applyAlignment="1">
      <alignment horizontal="center"/>
    </xf>
    <xf numFmtId="1" fontId="0" fillId="0" borderId="0" xfId="0" applyNumberFormat="1"/>
    <xf numFmtId="0" fontId="0" fillId="2" borderId="2" xfId="0" applyFill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3" fontId="5" fillId="2" borderId="0" xfId="0" applyNumberFormat="1" applyFont="1" applyFill="1"/>
    <xf numFmtId="0" fontId="5" fillId="2" borderId="0" xfId="0" applyFont="1" applyFill="1" applyAlignment="1">
      <alignment horizontal="left"/>
    </xf>
    <xf numFmtId="3" fontId="5" fillId="2" borderId="0" xfId="0" applyNumberFormat="1" applyFont="1" applyFill="1" applyAlignment="1">
      <alignment horizontal="left" indent="1"/>
    </xf>
    <xf numFmtId="0" fontId="5" fillId="0" borderId="0" xfId="0" applyFont="1" applyAlignment="1">
      <alignment horizontal="left"/>
    </xf>
    <xf numFmtId="3" fontId="5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left"/>
    </xf>
    <xf numFmtId="3" fontId="5" fillId="2" borderId="0" xfId="0" applyNumberFormat="1" applyFont="1" applyFill="1" applyAlignment="1">
      <alignment horizontal="left"/>
    </xf>
    <xf numFmtId="0" fontId="3" fillId="0" borderId="0" xfId="2" applyFont="1" applyBorder="1" applyAlignment="1">
      <alignment horizontal="left"/>
    </xf>
    <xf numFmtId="3" fontId="3" fillId="0" borderId="0" xfId="2" applyNumberFormat="1" applyFont="1" applyBorder="1" applyAlignment="1">
      <alignment horizontal="center"/>
    </xf>
    <xf numFmtId="0" fontId="3" fillId="0" borderId="0" xfId="2" applyFont="1" applyBorder="1"/>
    <xf numFmtId="3" fontId="3" fillId="0" borderId="0" xfId="2" applyNumberFormat="1" applyFont="1" applyBorder="1"/>
    <xf numFmtId="0" fontId="0" fillId="0" borderId="0" xfId="0" applyBorder="1"/>
    <xf numFmtId="0" fontId="3" fillId="0" borderId="0" xfId="4" applyFont="1" applyBorder="1" applyAlignment="1">
      <alignment horizontal="left"/>
    </xf>
    <xf numFmtId="3" fontId="6" fillId="0" borderId="0" xfId="7" applyNumberFormat="1" applyBorder="1"/>
    <xf numFmtId="3" fontId="3" fillId="0" borderId="0" xfId="4" applyNumberFormat="1" applyFont="1" applyBorder="1"/>
    <xf numFmtId="0" fontId="0" fillId="0" borderId="0" xfId="0" applyBorder="1" applyAlignment="1">
      <alignment horizontal="left"/>
    </xf>
  </cellXfs>
  <cellStyles count="8">
    <cellStyle name="Comma" xfId="1" builtinId="3"/>
    <cellStyle name="Normal" xfId="0" builtinId="0"/>
    <cellStyle name="Normal 2" xfId="7" xr:uid="{D713BAD6-F6DA-4644-8531-8F00851A1470}"/>
    <cellStyle name="Normal 3" xfId="5" xr:uid="{07EF3476-8E7A-47C9-A4D7-E07430DB6EC2}"/>
    <cellStyle name="Normal_1999 Nelson Forecast" xfId="2" xr:uid="{389DF485-AAE7-49D8-95DE-5F3084F4CF0F}"/>
    <cellStyle name="Normal_Bear LR Brood 2" xfId="6" xr:uid="{2D7D5672-EA9F-4429-9912-D1232BFAD550}"/>
    <cellStyle name="Normal_BRLRBRD98 2" xfId="4" xr:uid="{D748CA67-87E1-4BAB-A59B-B8579C4CBB59}"/>
    <cellStyle name="Normal_Nelson Brood" xfId="3" xr:uid="{CED40218-2CE6-440B-B117-CBE8726295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'chignik early'!$Y$10:$Y$44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'chignik early'!$Z$10:$Z$44</c:f>
              <c:numCache>
                <c:formatCode>#,##0</c:formatCode>
                <c:ptCount val="35"/>
                <c:pt idx="0">
                  <c:v>755845.698314065</c:v>
                </c:pt>
                <c:pt idx="1">
                  <c:v>435594.41587249801</c:v>
                </c:pt>
                <c:pt idx="2">
                  <c:v>432934.95219409303</c:v>
                </c:pt>
                <c:pt idx="3">
                  <c:v>680547.89039929898</c:v>
                </c:pt>
                <c:pt idx="4">
                  <c:v>446160.145639972</c:v>
                </c:pt>
                <c:pt idx="5">
                  <c:v>429462.98692098598</c:v>
                </c:pt>
                <c:pt idx="6">
                  <c:v>468839.87507183198</c:v>
                </c:pt>
                <c:pt idx="7">
                  <c:v>482890.351816501</c:v>
                </c:pt>
                <c:pt idx="8">
                  <c:v>424534.45734489697</c:v>
                </c:pt>
                <c:pt idx="9">
                  <c:v>366081.55923102098</c:v>
                </c:pt>
                <c:pt idx="10">
                  <c:v>835060.02804192796</c:v>
                </c:pt>
                <c:pt idx="11">
                  <c:v>393196.05315856403</c:v>
                </c:pt>
                <c:pt idx="12">
                  <c:v>365050.37906165799</c:v>
                </c:pt>
                <c:pt idx="13">
                  <c:v>362033.276835175</c:v>
                </c:pt>
                <c:pt idx="14">
                  <c:v>335060.91297314799</c:v>
                </c:pt>
                <c:pt idx="15">
                  <c:v>411786.12233436399</c:v>
                </c:pt>
                <c:pt idx="16">
                  <c:v>389780.93426258402</c:v>
                </c:pt>
                <c:pt idx="17">
                  <c:v>440697.10149999999</c:v>
                </c:pt>
                <c:pt idx="18">
                  <c:v>446382.57279609598</c:v>
                </c:pt>
                <c:pt idx="19">
                  <c:v>450517.62623932603</c:v>
                </c:pt>
                <c:pt idx="20">
                  <c:v>492557.05721592403</c:v>
                </c:pt>
                <c:pt idx="21">
                  <c:v>360709.20000334497</c:v>
                </c:pt>
                <c:pt idx="22">
                  <c:v>404752.85158299399</c:v>
                </c:pt>
                <c:pt idx="23">
                  <c:v>353797.567217562</c:v>
                </c:pt>
                <c:pt idx="24">
                  <c:v>421848.15581495198</c:v>
                </c:pt>
                <c:pt idx="25">
                  <c:v>416711.24251143599</c:v>
                </c:pt>
                <c:pt idx="26">
                  <c:v>420497.282866775</c:v>
                </c:pt>
                <c:pt idx="27">
                  <c:v>182974.18886487401</c:v>
                </c:pt>
                <c:pt idx="28">
                  <c:v>387110.20672223897</c:v>
                </c:pt>
                <c:pt idx="29">
                  <c:v>178785.09519061999</c:v>
                </c:pt>
                <c:pt idx="30">
                  <c:v>295725.63490901102</c:v>
                </c:pt>
                <c:pt idx="31">
                  <c:v>412228.15855690499</c:v>
                </c:pt>
                <c:pt idx="32">
                  <c:v>431283</c:v>
                </c:pt>
                <c:pt idx="33">
                  <c:v>372831</c:v>
                </c:pt>
                <c:pt idx="34">
                  <c:v>399019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B-48B0-8D40-4D3F467EB14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'chignik early'!$Y$10:$Y$44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'chignik early'!$AA$10:$AA$44</c:f>
              <c:numCache>
                <c:formatCode>#,##0</c:formatCode>
                <c:ptCount val="35"/>
                <c:pt idx="0">
                  <c:v>2657530.7856268208</c:v>
                </c:pt>
                <c:pt idx="1">
                  <c:v>1403862.1373066071</c:v>
                </c:pt>
                <c:pt idx="2">
                  <c:v>1299527.0999206088</c:v>
                </c:pt>
                <c:pt idx="3">
                  <c:v>1689042.4351254632</c:v>
                </c:pt>
                <c:pt idx="4">
                  <c:v>1168665.9445248577</c:v>
                </c:pt>
                <c:pt idx="5">
                  <c:v>1915878.7162008649</c:v>
                </c:pt>
                <c:pt idx="6">
                  <c:v>735599.58847910422</c:v>
                </c:pt>
                <c:pt idx="7">
                  <c:v>618320.71045873547</c:v>
                </c:pt>
                <c:pt idx="8">
                  <c:v>2089710.3635145407</c:v>
                </c:pt>
                <c:pt idx="9">
                  <c:v>1475272.4057178055</c:v>
                </c:pt>
                <c:pt idx="10">
                  <c:v>1363471.9791424954</c:v>
                </c:pt>
                <c:pt idx="11">
                  <c:v>997996.97856463597</c:v>
                </c:pt>
                <c:pt idx="12">
                  <c:v>948973.50995778316</c:v>
                </c:pt>
                <c:pt idx="13">
                  <c:v>1030132.29919693</c:v>
                </c:pt>
                <c:pt idx="14">
                  <c:v>1299810.5455481764</c:v>
                </c:pt>
                <c:pt idx="15">
                  <c:v>894656.39021806244</c:v>
                </c:pt>
                <c:pt idx="16">
                  <c:v>645912.18142193509</c:v>
                </c:pt>
                <c:pt idx="17">
                  <c:v>762869.2443958075</c:v>
                </c:pt>
                <c:pt idx="18">
                  <c:v>998069.41960437992</c:v>
                </c:pt>
                <c:pt idx="19">
                  <c:v>1260692.2950876229</c:v>
                </c:pt>
                <c:pt idx="20">
                  <c:v>2843737.6506448612</c:v>
                </c:pt>
                <c:pt idx="21">
                  <c:v>1468197.0204092211</c:v>
                </c:pt>
                <c:pt idx="22">
                  <c:v>2320374.988215955</c:v>
                </c:pt>
                <c:pt idx="23">
                  <c:v>377681.85055628151</c:v>
                </c:pt>
                <c:pt idx="24">
                  <c:v>734796.98551218107</c:v>
                </c:pt>
                <c:pt idx="25">
                  <c:v>1271800.8387066654</c:v>
                </c:pt>
                <c:pt idx="26">
                  <c:v>1014972.8122215588</c:v>
                </c:pt>
                <c:pt idx="27">
                  <c:v>183000.957451914</c:v>
                </c:pt>
                <c:pt idx="28">
                  <c:v>417811.85067535413</c:v>
                </c:pt>
                <c:pt idx="29">
                  <c:v>178785.35411297399</c:v>
                </c:pt>
                <c:pt idx="30">
                  <c:v>295903.49889526935</c:v>
                </c:pt>
                <c:pt idx="31">
                  <c:v>426720.07103767071</c:v>
                </c:pt>
                <c:pt idx="32">
                  <c:v>690958.69188141753</c:v>
                </c:pt>
                <c:pt idx="33">
                  <c:v>422108</c:v>
                </c:pt>
                <c:pt idx="34">
                  <c:v>632037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7B-48B0-8D40-4D3F467EB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404495"/>
        <c:axId val="1075404975"/>
        <c:extLst>
          <c:ext xmlns:c15="http://schemas.microsoft.com/office/drawing/2012/chart" uri="{02D57815-91ED-43cb-92C2-25804820EDAC}">
            <c15:filteredAreaSeries>
              <c15:ser>
                <c:idx val="0"/>
                <c:order val="1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'chignik early'!$Y$10:$Y$44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1991</c:v>
                      </c:pt>
                      <c:pt idx="1">
                        <c:v>1992</c:v>
                      </c:pt>
                      <c:pt idx="2">
                        <c:v>1993</c:v>
                      </c:pt>
                      <c:pt idx="3">
                        <c:v>1994</c:v>
                      </c:pt>
                      <c:pt idx="4">
                        <c:v>1995</c:v>
                      </c:pt>
                      <c:pt idx="5">
                        <c:v>1996</c:v>
                      </c:pt>
                      <c:pt idx="6">
                        <c:v>1997</c:v>
                      </c:pt>
                      <c:pt idx="7">
                        <c:v>1998</c:v>
                      </c:pt>
                      <c:pt idx="8">
                        <c:v>1999</c:v>
                      </c:pt>
                      <c:pt idx="9">
                        <c:v>2000</c:v>
                      </c:pt>
                      <c:pt idx="10">
                        <c:v>2001</c:v>
                      </c:pt>
                      <c:pt idx="11">
                        <c:v>2002</c:v>
                      </c:pt>
                      <c:pt idx="12">
                        <c:v>2003</c:v>
                      </c:pt>
                      <c:pt idx="13">
                        <c:v>2004</c:v>
                      </c:pt>
                      <c:pt idx="14">
                        <c:v>2005</c:v>
                      </c:pt>
                      <c:pt idx="15">
                        <c:v>2006</c:v>
                      </c:pt>
                      <c:pt idx="16">
                        <c:v>2007</c:v>
                      </c:pt>
                      <c:pt idx="17">
                        <c:v>2008</c:v>
                      </c:pt>
                      <c:pt idx="18">
                        <c:v>2009</c:v>
                      </c:pt>
                      <c:pt idx="19">
                        <c:v>2010</c:v>
                      </c:pt>
                      <c:pt idx="20">
                        <c:v>2011</c:v>
                      </c:pt>
                      <c:pt idx="21">
                        <c:v>2012</c:v>
                      </c:pt>
                      <c:pt idx="22">
                        <c:v>2013</c:v>
                      </c:pt>
                      <c:pt idx="23">
                        <c:v>2014</c:v>
                      </c:pt>
                      <c:pt idx="24">
                        <c:v>2015</c:v>
                      </c:pt>
                      <c:pt idx="25">
                        <c:v>2016</c:v>
                      </c:pt>
                      <c:pt idx="26">
                        <c:v>2017</c:v>
                      </c:pt>
                      <c:pt idx="27">
                        <c:v>2018</c:v>
                      </c:pt>
                      <c:pt idx="28">
                        <c:v>2019</c:v>
                      </c:pt>
                      <c:pt idx="29">
                        <c:v>2020</c:v>
                      </c:pt>
                      <c:pt idx="30">
                        <c:v>2021</c:v>
                      </c:pt>
                      <c:pt idx="31">
                        <c:v>2022</c:v>
                      </c:pt>
                      <c:pt idx="32">
                        <c:v>2023</c:v>
                      </c:pt>
                      <c:pt idx="33">
                        <c:v>2024</c:v>
                      </c:pt>
                      <c:pt idx="3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'chignik early'!$Y$10:$Y$44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1991</c:v>
                      </c:pt>
                      <c:pt idx="1">
                        <c:v>1992</c:v>
                      </c:pt>
                      <c:pt idx="2">
                        <c:v>1993</c:v>
                      </c:pt>
                      <c:pt idx="3">
                        <c:v>1994</c:v>
                      </c:pt>
                      <c:pt idx="4">
                        <c:v>1995</c:v>
                      </c:pt>
                      <c:pt idx="5">
                        <c:v>1996</c:v>
                      </c:pt>
                      <c:pt idx="6">
                        <c:v>1997</c:v>
                      </c:pt>
                      <c:pt idx="7">
                        <c:v>1998</c:v>
                      </c:pt>
                      <c:pt idx="8">
                        <c:v>1999</c:v>
                      </c:pt>
                      <c:pt idx="9">
                        <c:v>2000</c:v>
                      </c:pt>
                      <c:pt idx="10">
                        <c:v>2001</c:v>
                      </c:pt>
                      <c:pt idx="11">
                        <c:v>2002</c:v>
                      </c:pt>
                      <c:pt idx="12">
                        <c:v>2003</c:v>
                      </c:pt>
                      <c:pt idx="13">
                        <c:v>2004</c:v>
                      </c:pt>
                      <c:pt idx="14">
                        <c:v>2005</c:v>
                      </c:pt>
                      <c:pt idx="15">
                        <c:v>2006</c:v>
                      </c:pt>
                      <c:pt idx="16">
                        <c:v>2007</c:v>
                      </c:pt>
                      <c:pt idx="17">
                        <c:v>2008</c:v>
                      </c:pt>
                      <c:pt idx="18">
                        <c:v>2009</c:v>
                      </c:pt>
                      <c:pt idx="19">
                        <c:v>2010</c:v>
                      </c:pt>
                      <c:pt idx="20">
                        <c:v>2011</c:v>
                      </c:pt>
                      <c:pt idx="21">
                        <c:v>2012</c:v>
                      </c:pt>
                      <c:pt idx="22">
                        <c:v>2013</c:v>
                      </c:pt>
                      <c:pt idx="23">
                        <c:v>2014</c:v>
                      </c:pt>
                      <c:pt idx="24">
                        <c:v>2015</c:v>
                      </c:pt>
                      <c:pt idx="25">
                        <c:v>2016</c:v>
                      </c:pt>
                      <c:pt idx="26">
                        <c:v>2017</c:v>
                      </c:pt>
                      <c:pt idx="27">
                        <c:v>2018</c:v>
                      </c:pt>
                      <c:pt idx="28">
                        <c:v>2019</c:v>
                      </c:pt>
                      <c:pt idx="29">
                        <c:v>2020</c:v>
                      </c:pt>
                      <c:pt idx="30">
                        <c:v>2021</c:v>
                      </c:pt>
                      <c:pt idx="31">
                        <c:v>2022</c:v>
                      </c:pt>
                      <c:pt idx="32">
                        <c:v>2023</c:v>
                      </c:pt>
                      <c:pt idx="33">
                        <c:v>2024</c:v>
                      </c:pt>
                      <c:pt idx="34">
                        <c:v>2025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97B-48B0-8D40-4D3F467EB140}"/>
                  </c:ext>
                </c:extLst>
              </c15:ser>
            </c15:filteredAreaSeries>
          </c:ext>
        </c:extLst>
      </c:areaChart>
      <c:catAx>
        <c:axId val="1075404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04975"/>
        <c:crosses val="autoZero"/>
        <c:auto val="1"/>
        <c:lblAlgn val="ctr"/>
        <c:lblOffset val="100"/>
        <c:noMultiLvlLbl val="0"/>
      </c:catAx>
      <c:valAx>
        <c:axId val="107540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04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Bear Late Return/Spawner over time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3770249724336583E-2"/>
          <c:y val="1.6951443569553807E-2"/>
          <c:w val="0.92631922551938872"/>
          <c:h val="0.813529965004374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'Bear LR Brood'!$U$4</c:f>
              <c:strCache>
                <c:ptCount val="1"/>
              </c:strCache>
            </c:strRef>
          </c:tx>
          <c:xVal>
            <c:numRef>
              <c:f>'Bear LR Brood'!$A$5:$A$36</c:f>
              <c:numCache>
                <c:formatCode>General</c:formatCode>
                <c:ptCount val="3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</c:numCache>
            </c:numRef>
          </c:xVal>
          <c:yVal>
            <c:numRef>
              <c:f>'Bear LR Brood'!$U$5:$U$36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AB-472D-9A7C-2860ACC40625}"/>
            </c:ext>
          </c:extLst>
        </c:ser>
        <c:ser>
          <c:idx val="1"/>
          <c:order val="1"/>
          <c:tx>
            <c:v>Return/Spawner</c:v>
          </c:tx>
          <c:xVal>
            <c:numRef>
              <c:f>'Bear LR Brood'!$A$26:$A$28</c:f>
              <c:numCache>
                <c:formatCode>General</c:formatCode>
                <c:ptCount val="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</c:numCache>
            </c:numRef>
          </c:xVal>
          <c:yVal>
            <c:numRef>
              <c:f>'Bear LR Brood'!$U$26:$U$28</c:f>
              <c:numCache>
                <c:formatCode>General</c:formatCode>
                <c:ptCount val="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AB-472D-9A7C-2860ACC40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97471"/>
        <c:axId val="1"/>
      </c:scatterChart>
      <c:valAx>
        <c:axId val="192697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697471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2.2 over time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182788784683894E-2"/>
          <c:y val="0.12887460660066802"/>
          <c:w val="0.91392509372383923"/>
          <c:h val="0.79439751118399637"/>
        </c:manualLayout>
      </c:layout>
      <c:scatterChart>
        <c:scatterStyle val="smoothMarker"/>
        <c:varyColors val="0"/>
        <c:ser>
          <c:idx val="0"/>
          <c:order val="0"/>
          <c:trendline>
            <c:trendlineType val="linear"/>
            <c:dispRSqr val="1"/>
            <c:dispEq val="0"/>
            <c:trendlineLbl>
              <c:layout>
                <c:manualLayout>
                  <c:x val="-5.6167946639222505E-2"/>
                  <c:y val="-0.4798103956330612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'Bear LR Brood'!$A$14:$A$38</c:f>
              <c:numCache>
                <c:formatCode>General</c:formatCode>
                <c:ptCount val="25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</c:numCache>
            </c:numRef>
          </c:xVal>
          <c:yVal>
            <c:numRef>
              <c:f>'Bear LR Brood'!$K$14:$K$38</c:f>
              <c:numCache>
                <c:formatCode>#,##0</c:formatCode>
                <c:ptCount val="25"/>
                <c:pt idx="0">
                  <c:v>638148</c:v>
                </c:pt>
                <c:pt idx="1">
                  <c:v>795302</c:v>
                </c:pt>
                <c:pt idx="2">
                  <c:v>192725</c:v>
                </c:pt>
                <c:pt idx="3">
                  <c:v>356357</c:v>
                </c:pt>
                <c:pt idx="4">
                  <c:v>366291</c:v>
                </c:pt>
                <c:pt idx="5">
                  <c:v>566411</c:v>
                </c:pt>
                <c:pt idx="6">
                  <c:v>455680</c:v>
                </c:pt>
                <c:pt idx="7">
                  <c:v>271516</c:v>
                </c:pt>
                <c:pt idx="8">
                  <c:v>198531</c:v>
                </c:pt>
                <c:pt idx="9">
                  <c:v>163150</c:v>
                </c:pt>
                <c:pt idx="10">
                  <c:v>42043</c:v>
                </c:pt>
                <c:pt idx="11">
                  <c:v>491468</c:v>
                </c:pt>
                <c:pt idx="12">
                  <c:v>203429</c:v>
                </c:pt>
                <c:pt idx="13">
                  <c:v>584702</c:v>
                </c:pt>
                <c:pt idx="14">
                  <c:v>436775</c:v>
                </c:pt>
                <c:pt idx="15">
                  <c:v>115873</c:v>
                </c:pt>
                <c:pt idx="16">
                  <c:v>260270</c:v>
                </c:pt>
                <c:pt idx="17">
                  <c:v>33869</c:v>
                </c:pt>
                <c:pt idx="18">
                  <c:v>56893</c:v>
                </c:pt>
                <c:pt idx="19">
                  <c:v>224569</c:v>
                </c:pt>
                <c:pt idx="20">
                  <c:v>367576</c:v>
                </c:pt>
                <c:pt idx="21">
                  <c:v>417546</c:v>
                </c:pt>
                <c:pt idx="22">
                  <c:v>184773</c:v>
                </c:pt>
                <c:pt idx="23">
                  <c:v>77007.56</c:v>
                </c:pt>
                <c:pt idx="24">
                  <c:v>352758.65184378921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16-406C-A069-C59BBFB7B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27711"/>
        <c:axId val="1"/>
      </c:scatterChart>
      <c:valAx>
        <c:axId val="192727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727711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Bear Late Run over time	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Yearly Run</c:v>
          </c:tx>
          <c:spPr>
            <a:ln w="28575">
              <a:solidFill>
                <a:schemeClr val="accent1"/>
              </a:solidFill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5.6167946639222505E-2"/>
                  <c:y val="-0.4798103956330612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'Bear LR Brood'!$X$12:$X$46</c:f>
              <c:numCache>
                <c:formatCode>General</c:formatCode>
                <c:ptCount val="35"/>
              </c:numCache>
            </c:numRef>
          </c:xVal>
          <c:yVal>
            <c:numRef>
              <c:f>'Bear LR Brood'!$Y$12:$Y$46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7E-4003-8D87-7AF0616ED81D}"/>
            </c:ext>
          </c:extLst>
        </c:ser>
        <c:ser>
          <c:idx val="1"/>
          <c:order val="1"/>
          <c:tx>
            <c:v>2015</c:v>
          </c:tx>
          <c:spPr>
            <a:ln w="28575">
              <a:noFill/>
            </a:ln>
          </c:spPr>
          <c:xVal>
            <c:numRef>
              <c:f>'Bear LR Brood'!$X$38</c:f>
              <c:numCache>
                <c:formatCode>General</c:formatCode>
                <c:ptCount val="1"/>
              </c:numCache>
            </c:numRef>
          </c:xVal>
          <c:yVal>
            <c:numRef>
              <c:f>'Bear LR Brood'!$Y$38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7E-4003-8D87-7AF0616E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28191"/>
        <c:axId val="1"/>
      </c:scatterChart>
      <c:valAx>
        <c:axId val="19272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728191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571500</xdr:colOff>
      <xdr:row>11</xdr:row>
      <xdr:rowOff>179070</xdr:rowOff>
    </xdr:from>
    <xdr:to>
      <xdr:col>39</xdr:col>
      <xdr:colOff>449580</xdr:colOff>
      <xdr:row>33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B2BC9-34AB-470D-BBD3-D9554A8C6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228600</xdr:colOff>
      <xdr:row>28</xdr:row>
      <xdr:rowOff>66675</xdr:rowOff>
    </xdr:from>
    <xdr:to>
      <xdr:col>73</xdr:col>
      <xdr:colOff>114300</xdr:colOff>
      <xdr:row>60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C70AA-4DAF-4525-92B8-2D3E51F9C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228600</xdr:colOff>
      <xdr:row>61</xdr:row>
      <xdr:rowOff>57150</xdr:rowOff>
    </xdr:from>
    <xdr:to>
      <xdr:col>73</xdr:col>
      <xdr:colOff>114300</xdr:colOff>
      <xdr:row>86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E29399-AC15-47EE-9506-4732AAA22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285750</xdr:colOff>
      <xdr:row>5</xdr:row>
      <xdr:rowOff>76200</xdr:rowOff>
    </xdr:from>
    <xdr:to>
      <xdr:col>73</xdr:col>
      <xdr:colOff>171450</xdr:colOff>
      <xdr:row>27</xdr:row>
      <xdr:rowOff>133350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4A09FD89-6BE2-47D5-B2DC-0AE0B96AF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359833</xdr:colOff>
      <xdr:row>3</xdr:row>
      <xdr:rowOff>74083</xdr:rowOff>
    </xdr:from>
    <xdr:to>
      <xdr:col>25</xdr:col>
      <xdr:colOff>444500</xdr:colOff>
      <xdr:row>18</xdr:row>
      <xdr:rowOff>10584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CE3404-A1DF-4E87-9933-6BA384D329C2}"/>
            </a:ext>
          </a:extLst>
        </xdr:cNvPr>
        <xdr:cNvSpPr txBox="1"/>
      </xdr:nvSpPr>
      <xdr:spPr>
        <a:xfrm>
          <a:off x="14304433" y="645583"/>
          <a:ext cx="2932642" cy="2832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Escapement  after July 31 are considered Bear</a:t>
          </a:r>
          <a:r>
            <a:rPr lang="en-US" sz="1100" baseline="0"/>
            <a:t> Lake late run sockeye salmon </a:t>
          </a:r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0.04741</cdr:x>
      <cdr:y>0.85722</cdr:y>
    </cdr:from>
    <cdr:to>
      <cdr:x>0.96368</cdr:x>
      <cdr:y>0.85722</cdr:y>
    </cdr:to>
    <cdr:sp macro="" textlink="">
      <cdr:nvSpPr>
        <cdr:cNvPr id="3" name="Straight Connector 2"/>
        <cdr:cNvSpPr/>
      </cdr:nvSpPr>
      <cdr:spPr bwMode="auto">
        <a:xfrm xmlns:a="http://schemas.openxmlformats.org/drawingml/2006/main">
          <a:off x="482600" y="4279900"/>
          <a:ext cx="9499600" cy="0"/>
        </a:xfrm>
        <a:prstGeom xmlns:a="http://schemas.openxmlformats.org/drawingml/2006/main" prst="line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eninsula\Forecasts\2000%20forecasts\Chignik\forecast\98RunrecFore\99forecast\99KLRfor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op%20Die%20II\LAB12_don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ALLUSE\Finfish_Research\Forecast_2023\Late%20Bear\Bear_FX_HF11-14-22.xls" TargetMode="External"/><Relationship Id="rId1" Type="http://schemas.openxmlformats.org/officeDocument/2006/relationships/externalLinkPath" Target="file:///G:\ALLUSE\Finfish_Research\Forecast_2023\Late%20Bear\Bear_FX_HF11-14-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eninsula\Forecasts\2000%20forecasts\Chignik\ALLUSE\NICKS\98runrec\runbrd98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ALLUSE\Finfish_Research\Forecast_2026\Chignik\Brood%20tables\Chignik_brood_tables2-10-26.xlsx" TargetMode="External"/><Relationship Id="rId1" Type="http://schemas.openxmlformats.org/officeDocument/2006/relationships/externalLinkPath" Target="file:///G:\ALLUSE\Finfish_Research\Forecast_2026\Chignik\Brood%20tables\Chignik_brood_tables2-10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LBR95"/>
      <sheetName val="Summary"/>
      <sheetName val="1.2 from 1.1"/>
      <sheetName val="R 0.3 from 0.2"/>
      <sheetName val="R 1.3 from 1.2"/>
      <sheetName val="R 2.2 from 2.1 all"/>
      <sheetName val="R 2.2 from 1.2 all"/>
      <sheetName val="2.3 from 2.2"/>
      <sheetName val="R 3.2 from 3.1"/>
      <sheetName val="R 3.2 from 2.2"/>
      <sheetName val="R 3.3 from 3.2"/>
      <sheetName val="R 3.3 from 2.3"/>
      <sheetName val="other ages "/>
      <sheetName val="R 4 from 3"/>
      <sheetName val="R 5 from 4"/>
      <sheetName val="R 6 from 5"/>
      <sheetName val="R 7 from 6"/>
      <sheetName val="D 0.3 from 0.2"/>
      <sheetName val="D 1.2 from 1.1"/>
      <sheetName val="D 2.2 from 1.2 or 2.1"/>
      <sheetName val="D 1.3 from 1.2"/>
      <sheetName val="D 3.3 from 3.2"/>
      <sheetName val="D 3.2 from 3.1"/>
      <sheetName val="D 2.3 from 2.2"/>
      <sheetName val="D 4 from 3"/>
      <sheetName val="D 5 from 4"/>
      <sheetName val="D 6 from 5"/>
      <sheetName val="D 7 from 6"/>
      <sheetName val="D 3.3 from 2.3"/>
      <sheetName val="D 3.2 from 2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Fst"/>
      <sheetName val="agecomp"/>
    </sheetNames>
    <sheetDataSet>
      <sheetData sheetId="0" refreshError="1"/>
      <sheetData sheetId="1" refreshError="1"/>
      <sheetData sheetId="2">
        <row r="6">
          <cell r="P6">
            <v>4</v>
          </cell>
        </row>
        <row r="7">
          <cell r="P7">
            <v>5</v>
          </cell>
        </row>
        <row r="8">
          <cell r="P8">
            <v>14</v>
          </cell>
        </row>
        <row r="9">
          <cell r="P9">
            <v>9</v>
          </cell>
        </row>
        <row r="10">
          <cell r="P10">
            <v>9</v>
          </cell>
        </row>
        <row r="11">
          <cell r="P11">
            <v>26</v>
          </cell>
        </row>
        <row r="12">
          <cell r="P12">
            <v>51</v>
          </cell>
        </row>
        <row r="13">
          <cell r="P13">
            <v>64</v>
          </cell>
        </row>
        <row r="14">
          <cell r="P14">
            <v>53</v>
          </cell>
        </row>
        <row r="15">
          <cell r="P15">
            <v>30</v>
          </cell>
        </row>
        <row r="16">
          <cell r="P16">
            <v>31</v>
          </cell>
        </row>
        <row r="17">
          <cell r="P17">
            <v>15</v>
          </cell>
        </row>
        <row r="18">
          <cell r="P18">
            <v>14</v>
          </cell>
        </row>
        <row r="19">
          <cell r="P19">
            <v>2</v>
          </cell>
        </row>
        <row r="20">
          <cell r="O20">
            <v>2532</v>
          </cell>
        </row>
        <row r="23"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7.1090047393364926E-3</v>
          </cell>
        </row>
        <row r="24"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1.8957345971563982E-2</v>
          </cell>
        </row>
        <row r="25">
          <cell r="F25">
            <v>0.9285714285714286</v>
          </cell>
          <cell r="G25">
            <v>7.1428571428571425E-2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3.4360189573459717E-2</v>
          </cell>
        </row>
        <row r="26">
          <cell r="F26">
            <v>0.55555555555555558</v>
          </cell>
          <cell r="G26">
            <v>0.44444444444444442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O26">
            <v>2.5671406003159557E-2</v>
          </cell>
        </row>
        <row r="27">
          <cell r="F27">
            <v>0.1111111111111111</v>
          </cell>
          <cell r="G27">
            <v>0.77777777777777779</v>
          </cell>
          <cell r="H27">
            <v>0</v>
          </cell>
          <cell r="I27">
            <v>0.1111111111111111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O27">
            <v>3.6334913112164295E-2</v>
          </cell>
        </row>
        <row r="28">
          <cell r="F28">
            <v>0</v>
          </cell>
          <cell r="G28">
            <v>0.53846153846153844</v>
          </cell>
          <cell r="H28">
            <v>0.42307692307692307</v>
          </cell>
          <cell r="I28">
            <v>3.8461538461538464E-2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O28">
            <v>9.4391785150078983E-2</v>
          </cell>
        </row>
        <row r="29">
          <cell r="F29">
            <v>0</v>
          </cell>
          <cell r="G29">
            <v>0.15686274509803921</v>
          </cell>
          <cell r="H29">
            <v>0.72549019607843135</v>
          </cell>
          <cell r="I29">
            <v>0.11764705882352941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O29">
            <v>0.14968404423380727</v>
          </cell>
        </row>
        <row r="30">
          <cell r="F30">
            <v>0</v>
          </cell>
          <cell r="G30">
            <v>4.6875E-2</v>
          </cell>
          <cell r="H30">
            <v>0.796875</v>
          </cell>
          <cell r="I30">
            <v>0.15625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O30">
            <v>0.18048973143759875</v>
          </cell>
        </row>
        <row r="31">
          <cell r="F31">
            <v>0</v>
          </cell>
          <cell r="G31">
            <v>1.8867924528301886E-2</v>
          </cell>
          <cell r="H31">
            <v>0.35849056603773582</v>
          </cell>
          <cell r="I31">
            <v>0.60377358490566035</v>
          </cell>
          <cell r="J31">
            <v>1.8867924528301886E-2</v>
          </cell>
          <cell r="K31">
            <v>0</v>
          </cell>
          <cell r="L31">
            <v>0</v>
          </cell>
          <cell r="M31">
            <v>0</v>
          </cell>
          <cell r="O31">
            <v>0.15876777251184834</v>
          </cell>
        </row>
        <row r="32">
          <cell r="F32">
            <v>0</v>
          </cell>
          <cell r="G32">
            <v>0</v>
          </cell>
          <cell r="H32">
            <v>0.2</v>
          </cell>
          <cell r="I32">
            <v>0.66666666666666663</v>
          </cell>
          <cell r="J32">
            <v>0.1</v>
          </cell>
          <cell r="K32">
            <v>0</v>
          </cell>
          <cell r="L32">
            <v>3.3333333333333333E-2</v>
          </cell>
          <cell r="M32">
            <v>0</v>
          </cell>
          <cell r="O32">
            <v>0.1018957345971564</v>
          </cell>
        </row>
        <row r="33">
          <cell r="F33">
            <v>0</v>
          </cell>
          <cell r="G33">
            <v>3.2258064516129031E-2</v>
          </cell>
          <cell r="H33">
            <v>3.2258064516129031E-2</v>
          </cell>
          <cell r="I33">
            <v>0.45161290322580644</v>
          </cell>
          <cell r="J33">
            <v>0.32258064516129031</v>
          </cell>
          <cell r="K33">
            <v>0.12903225806451613</v>
          </cell>
          <cell r="L33">
            <v>3.2258064516129031E-2</v>
          </cell>
          <cell r="M33">
            <v>0</v>
          </cell>
          <cell r="O33">
            <v>9.1627172195892573E-2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0.2</v>
          </cell>
          <cell r="J34">
            <v>0.33333333333333331</v>
          </cell>
          <cell r="K34">
            <v>0.33333333333333331</v>
          </cell>
          <cell r="L34">
            <v>0.13333333333333333</v>
          </cell>
          <cell r="M34">
            <v>0</v>
          </cell>
          <cell r="O34">
            <v>5.6082148499210109E-2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7.1428571428571425E-2</v>
          </cell>
          <cell r="J35">
            <v>0.21428571428571427</v>
          </cell>
          <cell r="K35">
            <v>0.35714285714285715</v>
          </cell>
          <cell r="L35">
            <v>0.35714285714285715</v>
          </cell>
          <cell r="M35">
            <v>0</v>
          </cell>
          <cell r="O35">
            <v>3.1990521327014215E-2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</v>
          </cell>
          <cell r="O36">
            <v>1.2638230647709321E-2</v>
          </cell>
        </row>
        <row r="39">
          <cell r="F39">
            <v>7.6271345821108852E-2</v>
          </cell>
          <cell r="G39">
            <v>0.13084228667903394</v>
          </cell>
          <cell r="H39">
            <v>0.37260865815324723</v>
          </cell>
          <cell r="I39">
            <v>0.27215083103271109</v>
          </cell>
          <cell r="J39">
            <v>6.8291505342919778E-2</v>
          </cell>
          <cell r="K39">
            <v>4.1942096616458327E-2</v>
          </cell>
          <cell r="L39">
            <v>2.5255045706811488E-2</v>
          </cell>
          <cell r="M39">
            <v>1.2638230647709321E-2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S temps"/>
      <sheetName val="README"/>
      <sheetName val="Cold Bay Temp"/>
      <sheetName val="Cold Bay Precip"/>
      <sheetName val="Bear LR Brood"/>
      <sheetName val="historical run"/>
      <sheetName val="Summary"/>
      <sheetName val="2-oc from CBPrecip"/>
      <sheetName val="2.3~2.2"/>
      <sheetName val="Cold Bay Temp~2OC"/>
      <sheetName val="2.2 from 2.1"/>
      <sheetName val="lag1_2.2~CBT winter"/>
      <sheetName val="3-ocean from 2-ocean 2020FX"/>
      <sheetName val="3-ocean from 2-ocean 2023FX"/>
      <sheetName val="1.3~1.2"/>
      <sheetName val="sibling relationships AS 2013"/>
      <sheetName val="explore 2013"/>
      <sheetName val="2-oc from CBT &amp;Precip"/>
      <sheetName val="3-oc from 2-oc &amp;CB temp"/>
      <sheetName val="2-oc from CBT"/>
      <sheetName val="2-oc from KS precip"/>
      <sheetName val="FRI_Model"/>
      <sheetName val="Bear LR Brood (2)"/>
      <sheetName val="2-oc from 1-oc"/>
      <sheetName val="3-ocean from CBT"/>
      <sheetName val="2-oc to 1-oc from CB temps"/>
      <sheetName val="sibling"/>
      <sheetName val="2-oc from winter &amp; precip"/>
      <sheetName val="Lag1Cold Bay 2.2 from 2.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U4" t="str">
            <v>Spawner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K4">
            <v>724.66993981485348</v>
          </cell>
          <cell r="L4">
            <v>-60.899379354308387</v>
          </cell>
          <cell r="M4">
            <v>-26.662597245192387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55"/>
      <sheetName val="Tab56"/>
      <sheetName val="Tab57"/>
      <sheetName val="Tab58"/>
      <sheetName val="Tab59"/>
      <sheetName val="Tab60"/>
      <sheetName val="Tab61"/>
      <sheetName val="Tab62"/>
      <sheetName val="Tab63"/>
      <sheetName val="Tab64"/>
      <sheetName val="Tab65"/>
      <sheetName val="Tab66"/>
      <sheetName val="Tab67"/>
      <sheetName val="SPIR Fig"/>
      <sheetName val="KER Fig"/>
      <sheetName val="KLR Fig "/>
      <sheetName val="Ayak Fig"/>
      <sheetName val="FRZ fig"/>
      <sheetName val="UPE Fig "/>
      <sheetName val="UPL Fig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A5" t="str">
            <v>Brood</v>
          </cell>
          <cell r="I5" t="str">
            <v>Ages</v>
          </cell>
          <cell r="R5" t="str">
            <v xml:space="preserve">Total </v>
          </cell>
          <cell r="S5" t="str">
            <v>Return/</v>
          </cell>
        </row>
        <row r="6">
          <cell r="A6" t="str">
            <v>Year</v>
          </cell>
          <cell r="B6" t="str">
            <v>Escap.</v>
          </cell>
          <cell r="C6">
            <v>0.2</v>
          </cell>
          <cell r="D6">
            <v>1.1000000000000001</v>
          </cell>
          <cell r="E6">
            <v>0.3</v>
          </cell>
          <cell r="F6">
            <v>1.2</v>
          </cell>
          <cell r="G6">
            <v>2.1</v>
          </cell>
          <cell r="H6">
            <v>0.4</v>
          </cell>
          <cell r="I6">
            <v>1.3</v>
          </cell>
          <cell r="J6">
            <v>2.2000000000000002</v>
          </cell>
          <cell r="K6">
            <v>3.1</v>
          </cell>
          <cell r="L6">
            <v>1.4</v>
          </cell>
          <cell r="M6">
            <v>2.2999999999999998</v>
          </cell>
          <cell r="N6">
            <v>3.2</v>
          </cell>
          <cell r="O6">
            <v>2.4</v>
          </cell>
          <cell r="P6">
            <v>3.3</v>
          </cell>
          <cell r="Q6">
            <v>3.4</v>
          </cell>
          <cell r="R6" t="str">
            <v>Return</v>
          </cell>
          <cell r="S6" t="str">
            <v>Spawner</v>
          </cell>
        </row>
        <row r="8">
          <cell r="A8">
            <v>1963</v>
          </cell>
          <cell r="B8">
            <v>63563</v>
          </cell>
          <cell r="L8">
            <v>0</v>
          </cell>
          <cell r="M8">
            <v>58666.717845409112</v>
          </cell>
          <cell r="N8">
            <v>6268.1981855693375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1964</v>
          </cell>
          <cell r="B9">
            <v>36342</v>
          </cell>
          <cell r="H9">
            <v>0</v>
          </cell>
          <cell r="I9">
            <v>157.7234726688103</v>
          </cell>
          <cell r="J9">
            <v>50206.109278666896</v>
          </cell>
          <cell r="K9">
            <v>0</v>
          </cell>
          <cell r="L9">
            <v>0</v>
          </cell>
          <cell r="M9">
            <v>5705.3208724942169</v>
          </cell>
          <cell r="N9">
            <v>3375.199636200482</v>
          </cell>
          <cell r="O9">
            <v>0</v>
          </cell>
          <cell r="P9">
            <v>0</v>
          </cell>
          <cell r="Q9">
            <v>0</v>
          </cell>
        </row>
        <row r="10">
          <cell r="A10">
            <v>1965</v>
          </cell>
          <cell r="B10">
            <v>76456</v>
          </cell>
          <cell r="E10">
            <v>0</v>
          </cell>
          <cell r="F10">
            <v>157.7234726688103</v>
          </cell>
          <cell r="G10">
            <v>3469.9163987138268</v>
          </cell>
          <cell r="H10">
            <v>0</v>
          </cell>
          <cell r="I10">
            <v>0</v>
          </cell>
          <cell r="J10">
            <v>33521.632949266546</v>
          </cell>
          <cell r="K10">
            <v>0</v>
          </cell>
          <cell r="L10">
            <v>0</v>
          </cell>
          <cell r="M10">
            <v>13149.872994968278</v>
          </cell>
          <cell r="N10">
            <v>5533.5930168453297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1966</v>
          </cell>
          <cell r="B11">
            <v>66057</v>
          </cell>
          <cell r="C11">
            <v>0</v>
          </cell>
          <cell r="D11">
            <v>315.4469453376206</v>
          </cell>
          <cell r="E11">
            <v>0</v>
          </cell>
          <cell r="F11">
            <v>1172.6607245256046</v>
          </cell>
          <cell r="G11">
            <v>16621.845055211623</v>
          </cell>
          <cell r="H11">
            <v>0</v>
          </cell>
          <cell r="I11">
            <v>3285.2574841391379</v>
          </cell>
          <cell r="J11">
            <v>57849.557453511268</v>
          </cell>
          <cell r="K11">
            <v>0</v>
          </cell>
          <cell r="L11">
            <v>0</v>
          </cell>
          <cell r="M11">
            <v>51108.505102845425</v>
          </cell>
          <cell r="N11">
            <v>7030.7900945689935</v>
          </cell>
          <cell r="O11">
            <v>0</v>
          </cell>
          <cell r="P11">
            <v>0</v>
          </cell>
          <cell r="Q11">
            <v>0</v>
          </cell>
          <cell r="R11">
            <v>137384.06286013967</v>
          </cell>
          <cell r="S11">
            <v>2.0797805359029273</v>
          </cell>
        </row>
        <row r="12">
          <cell r="A12">
            <v>1967</v>
          </cell>
          <cell r="B12">
            <v>227089</v>
          </cell>
          <cell r="C12">
            <v>0</v>
          </cell>
          <cell r="D12">
            <v>1772.2125117132757</v>
          </cell>
          <cell r="E12">
            <v>0</v>
          </cell>
          <cell r="F12">
            <v>24013.119011157298</v>
          </cell>
          <cell r="G12">
            <v>3338.3158346094947</v>
          </cell>
          <cell r="H12">
            <v>0</v>
          </cell>
          <cell r="I12">
            <v>16468.958666177667</v>
          </cell>
          <cell r="J12">
            <v>78833.728569025043</v>
          </cell>
          <cell r="K12">
            <v>0</v>
          </cell>
          <cell r="L12">
            <v>0</v>
          </cell>
          <cell r="M12">
            <v>23975.828481751782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148402.16307443456</v>
          </cell>
          <cell r="S12">
            <v>0.65349780515319789</v>
          </cell>
        </row>
        <row r="13">
          <cell r="A13">
            <v>1968</v>
          </cell>
          <cell r="B13">
            <v>220850</v>
          </cell>
          <cell r="C13">
            <v>0</v>
          </cell>
          <cell r="D13">
            <v>82.824285714285708</v>
          </cell>
          <cell r="E13">
            <v>0</v>
          </cell>
          <cell r="F13">
            <v>4199.132032817537</v>
          </cell>
          <cell r="G13">
            <v>2825.0723935976007</v>
          </cell>
          <cell r="H13">
            <v>0</v>
          </cell>
          <cell r="I13">
            <v>34463.147645197787</v>
          </cell>
          <cell r="J13">
            <v>89549.084732174262</v>
          </cell>
          <cell r="K13">
            <v>0</v>
          </cell>
          <cell r="L13">
            <v>0</v>
          </cell>
          <cell r="M13">
            <v>123052.98639563432</v>
          </cell>
          <cell r="N13">
            <v>8492.5518356816792</v>
          </cell>
          <cell r="O13">
            <v>0</v>
          </cell>
          <cell r="P13">
            <v>0</v>
          </cell>
          <cell r="Q13">
            <v>0</v>
          </cell>
          <cell r="R13">
            <v>262664.79932081746</v>
          </cell>
          <cell r="S13">
            <v>1.1893357451701039</v>
          </cell>
        </row>
        <row r="14">
          <cell r="A14">
            <v>1969</v>
          </cell>
          <cell r="B14">
            <v>71160</v>
          </cell>
          <cell r="C14">
            <v>0</v>
          </cell>
          <cell r="D14">
            <v>0</v>
          </cell>
          <cell r="E14">
            <v>0</v>
          </cell>
          <cell r="F14">
            <v>4756.186748981936</v>
          </cell>
          <cell r="G14">
            <v>3703.4719812716044</v>
          </cell>
          <cell r="H14">
            <v>0</v>
          </cell>
          <cell r="I14">
            <v>3704.3645253919794</v>
          </cell>
          <cell r="J14">
            <v>78972.313101827982</v>
          </cell>
          <cell r="K14">
            <v>0</v>
          </cell>
          <cell r="L14">
            <v>0</v>
          </cell>
          <cell r="M14">
            <v>13734.260749469267</v>
          </cell>
          <cell r="N14">
            <v>652.21804511278197</v>
          </cell>
          <cell r="O14">
            <v>0</v>
          </cell>
          <cell r="P14">
            <v>0</v>
          </cell>
          <cell r="Q14">
            <v>0</v>
          </cell>
          <cell r="R14">
            <v>105522.81515205554</v>
          </cell>
          <cell r="S14">
            <v>1.482895097696115</v>
          </cell>
        </row>
        <row r="15">
          <cell r="A15">
            <v>1970</v>
          </cell>
          <cell r="B15">
            <v>33863</v>
          </cell>
          <cell r="C15">
            <v>0</v>
          </cell>
          <cell r="D15">
            <v>0</v>
          </cell>
          <cell r="E15">
            <v>0</v>
          </cell>
          <cell r="F15">
            <v>1083.822784897719</v>
          </cell>
          <cell r="G15">
            <v>6324.9062658862404</v>
          </cell>
          <cell r="H15">
            <v>0</v>
          </cell>
          <cell r="I15">
            <v>2052.040666841277</v>
          </cell>
          <cell r="J15">
            <v>17543.304837965785</v>
          </cell>
          <cell r="K15">
            <v>0</v>
          </cell>
          <cell r="L15">
            <v>0</v>
          </cell>
          <cell r="M15">
            <v>9151.5762129199393</v>
          </cell>
          <cell r="N15">
            <v>3273.5376673365386</v>
          </cell>
          <cell r="O15">
            <v>0</v>
          </cell>
          <cell r="P15">
            <v>0</v>
          </cell>
          <cell r="Q15">
            <v>0</v>
          </cell>
          <cell r="R15">
            <v>39429.1884358475</v>
          </cell>
          <cell r="S15">
            <v>1.1643737541224197</v>
          </cell>
        </row>
        <row r="16">
          <cell r="A16">
            <v>1971</v>
          </cell>
          <cell r="B16">
            <v>109174</v>
          </cell>
          <cell r="C16">
            <v>0</v>
          </cell>
          <cell r="D16">
            <v>3251.4683546931565</v>
          </cell>
          <cell r="E16">
            <v>0</v>
          </cell>
          <cell r="F16">
            <v>35918.503720703658</v>
          </cell>
          <cell r="G16">
            <v>18925.372158339793</v>
          </cell>
          <cell r="H16">
            <v>0</v>
          </cell>
          <cell r="I16">
            <v>26504.908163709188</v>
          </cell>
          <cell r="J16">
            <v>184052.99101156127</v>
          </cell>
          <cell r="K16">
            <v>0</v>
          </cell>
          <cell r="L16">
            <v>0</v>
          </cell>
          <cell r="M16">
            <v>16736.318982693992</v>
          </cell>
          <cell r="N16">
            <v>3363.9219902584559</v>
          </cell>
          <cell r="O16">
            <v>0</v>
          </cell>
          <cell r="P16">
            <v>0</v>
          </cell>
          <cell r="Q16">
            <v>0</v>
          </cell>
          <cell r="R16">
            <v>288753.48438195954</v>
          </cell>
          <cell r="S16">
            <v>2.6448924137794672</v>
          </cell>
        </row>
        <row r="17">
          <cell r="A17">
            <v>1972</v>
          </cell>
          <cell r="B17">
            <v>113733</v>
          </cell>
          <cell r="C17">
            <v>0</v>
          </cell>
          <cell r="D17">
            <v>5080.1889886824156</v>
          </cell>
          <cell r="E17">
            <v>0</v>
          </cell>
          <cell r="F17">
            <v>121159.61754375107</v>
          </cell>
          <cell r="G17">
            <v>6723.2903167094773</v>
          </cell>
          <cell r="H17">
            <v>0</v>
          </cell>
          <cell r="I17">
            <v>99681.047109347215</v>
          </cell>
          <cell r="J17">
            <v>260324.89424281547</v>
          </cell>
          <cell r="K17">
            <v>0</v>
          </cell>
          <cell r="L17">
            <v>0</v>
          </cell>
          <cell r="M17">
            <v>71225.265409600965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564194.30361090659</v>
          </cell>
          <cell r="S17">
            <v>4.960691299894548</v>
          </cell>
        </row>
        <row r="18">
          <cell r="A18">
            <v>1973</v>
          </cell>
          <cell r="B18">
            <v>119993</v>
          </cell>
          <cell r="C18">
            <v>0</v>
          </cell>
          <cell r="D18">
            <v>985.64361410655385</v>
          </cell>
          <cell r="E18">
            <v>1394.6932485578329</v>
          </cell>
          <cell r="F18">
            <v>79993.010335863582</v>
          </cell>
          <cell r="G18">
            <v>7548.0017359319545</v>
          </cell>
          <cell r="H18">
            <v>0</v>
          </cell>
          <cell r="I18">
            <v>82531.863941210409</v>
          </cell>
          <cell r="J18">
            <v>110905.65730567649</v>
          </cell>
          <cell r="K18">
            <v>0</v>
          </cell>
          <cell r="L18">
            <v>0</v>
          </cell>
          <cell r="M18">
            <v>45469.031886803277</v>
          </cell>
          <cell r="N18">
            <v>1393.2771022570985</v>
          </cell>
          <cell r="O18">
            <v>0</v>
          </cell>
          <cell r="P18">
            <v>0</v>
          </cell>
          <cell r="Q18">
            <v>0</v>
          </cell>
          <cell r="R18">
            <v>330221.17917040724</v>
          </cell>
          <cell r="S18">
            <v>2.7520036933021697</v>
          </cell>
        </row>
        <row r="19">
          <cell r="A19">
            <v>1974</v>
          </cell>
          <cell r="B19">
            <v>181631</v>
          </cell>
          <cell r="C19">
            <v>0</v>
          </cell>
          <cell r="D19">
            <v>3363.9219902584559</v>
          </cell>
          <cell r="E19">
            <v>0</v>
          </cell>
          <cell r="F19">
            <v>46280.839486225777</v>
          </cell>
          <cell r="G19">
            <v>0</v>
          </cell>
          <cell r="H19">
            <v>0</v>
          </cell>
          <cell r="I19">
            <v>45109.255674954336</v>
          </cell>
          <cell r="J19">
            <v>129000.33927915129</v>
          </cell>
          <cell r="K19">
            <v>0</v>
          </cell>
          <cell r="L19">
            <v>0</v>
          </cell>
          <cell r="M19">
            <v>221923.28865765035</v>
          </cell>
          <cell r="N19">
            <v>3892.2061741862531</v>
          </cell>
          <cell r="O19">
            <v>0</v>
          </cell>
          <cell r="P19">
            <v>0</v>
          </cell>
          <cell r="Q19">
            <v>0</v>
          </cell>
          <cell r="R19">
            <v>449569.85126242647</v>
          </cell>
          <cell r="S19">
            <v>2.4751823822058263</v>
          </cell>
        </row>
        <row r="20">
          <cell r="A20">
            <v>1975</v>
          </cell>
          <cell r="B20">
            <v>94517</v>
          </cell>
          <cell r="C20">
            <v>0</v>
          </cell>
          <cell r="D20">
            <v>0</v>
          </cell>
          <cell r="E20">
            <v>1393.2771022570985</v>
          </cell>
          <cell r="F20">
            <v>10981.604627178533</v>
          </cell>
          <cell r="G20">
            <v>14989.185785548467</v>
          </cell>
          <cell r="H20">
            <v>0</v>
          </cell>
          <cell r="I20">
            <v>30949.79275768411</v>
          </cell>
          <cell r="J20">
            <v>308250.62062166055</v>
          </cell>
          <cell r="K20">
            <v>0</v>
          </cell>
          <cell r="L20">
            <v>0</v>
          </cell>
          <cell r="M20">
            <v>96141.2862859257</v>
          </cell>
          <cell r="N20">
            <v>857.70779065313161</v>
          </cell>
          <cell r="O20">
            <v>0</v>
          </cell>
          <cell r="P20">
            <v>0</v>
          </cell>
          <cell r="Q20">
            <v>0</v>
          </cell>
          <cell r="R20">
            <v>463563.47497090755</v>
          </cell>
          <cell r="S20">
            <v>4.9045512973423566</v>
          </cell>
        </row>
        <row r="21">
          <cell r="A21">
            <v>1976</v>
          </cell>
          <cell r="B21">
            <v>219047</v>
          </cell>
          <cell r="C21">
            <v>0</v>
          </cell>
          <cell r="D21">
            <v>5835.3026103919883</v>
          </cell>
          <cell r="E21">
            <v>3854.6348470250696</v>
          </cell>
          <cell r="F21">
            <v>405330.34701334976</v>
          </cell>
          <cell r="G21">
            <v>8408.0658259627598</v>
          </cell>
          <cell r="H21">
            <v>0</v>
          </cell>
          <cell r="I21">
            <v>164495.28974825531</v>
          </cell>
          <cell r="J21">
            <v>187009.3202238502</v>
          </cell>
          <cell r="K21">
            <v>0</v>
          </cell>
          <cell r="L21">
            <v>0</v>
          </cell>
          <cell r="M21">
            <v>61395.211819000753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836328.17208783585</v>
          </cell>
          <cell r="S21">
            <v>3.8180307061399419</v>
          </cell>
        </row>
        <row r="22">
          <cell r="A22">
            <v>1977</v>
          </cell>
          <cell r="B22">
            <v>306982</v>
          </cell>
          <cell r="C22">
            <v>0</v>
          </cell>
          <cell r="D22">
            <v>0</v>
          </cell>
          <cell r="E22">
            <v>0</v>
          </cell>
          <cell r="F22">
            <v>5060.067699259248</v>
          </cell>
          <cell r="G22">
            <v>3430.8311626125264</v>
          </cell>
          <cell r="H22">
            <v>0</v>
          </cell>
          <cell r="I22">
            <v>18656.257172722202</v>
          </cell>
          <cell r="J22">
            <v>170721.06365550123</v>
          </cell>
          <cell r="K22">
            <v>0</v>
          </cell>
          <cell r="L22">
            <v>0</v>
          </cell>
          <cell r="M22">
            <v>85540.898899821492</v>
          </cell>
          <cell r="N22">
            <v>3940.3496437382423</v>
          </cell>
          <cell r="O22">
            <v>0</v>
          </cell>
          <cell r="P22">
            <v>0</v>
          </cell>
          <cell r="Q22">
            <v>0</v>
          </cell>
          <cell r="R22">
            <v>287349.46823365492</v>
          </cell>
          <cell r="S22">
            <v>0.9360466354172392</v>
          </cell>
        </row>
        <row r="23">
          <cell r="A23">
            <v>1978</v>
          </cell>
          <cell r="B23">
            <v>132864</v>
          </cell>
          <cell r="C23">
            <v>0</v>
          </cell>
          <cell r="D23">
            <v>0</v>
          </cell>
          <cell r="E23">
            <v>0</v>
          </cell>
          <cell r="F23">
            <v>1556.4490437515358</v>
          </cell>
          <cell r="G23">
            <v>15799.245367128351</v>
          </cell>
          <cell r="H23">
            <v>0</v>
          </cell>
          <cell r="I23">
            <v>14937.359743090205</v>
          </cell>
          <cell r="J23">
            <v>45081.1887302205</v>
          </cell>
          <cell r="K23">
            <v>0</v>
          </cell>
          <cell r="L23">
            <v>0</v>
          </cell>
          <cell r="M23">
            <v>42151.32717283172</v>
          </cell>
          <cell r="N23">
            <v>2747.1406427016409</v>
          </cell>
          <cell r="O23">
            <v>0</v>
          </cell>
          <cell r="P23">
            <v>0</v>
          </cell>
          <cell r="Q23">
            <v>0</v>
          </cell>
          <cell r="R23">
            <v>122272.71069972395</v>
          </cell>
          <cell r="S23">
            <v>0.92028473250635201</v>
          </cell>
        </row>
        <row r="24">
          <cell r="A24">
            <v>1979</v>
          </cell>
          <cell r="B24">
            <v>222270</v>
          </cell>
          <cell r="C24">
            <v>0</v>
          </cell>
          <cell r="D24">
            <v>3624.6706513215081</v>
          </cell>
          <cell r="E24">
            <v>441.04127847585755</v>
          </cell>
          <cell r="F24">
            <v>16345.349768410326</v>
          </cell>
          <cell r="G24">
            <v>18351.801918460042</v>
          </cell>
          <cell r="H24">
            <v>0</v>
          </cell>
          <cell r="I24">
            <v>40957.693191822502</v>
          </cell>
          <cell r="J24">
            <v>131538.50156769232</v>
          </cell>
          <cell r="K24">
            <v>0</v>
          </cell>
          <cell r="L24">
            <v>0</v>
          </cell>
          <cell r="M24">
            <v>41814.594682485527</v>
          </cell>
          <cell r="N24">
            <v>1437.5527798333519</v>
          </cell>
          <cell r="O24">
            <v>0</v>
          </cell>
          <cell r="P24">
            <v>0</v>
          </cell>
          <cell r="Q24">
            <v>0</v>
          </cell>
          <cell r="R24">
            <v>254511.20583850145</v>
          </cell>
          <cell r="S24">
            <v>1.14505423961174</v>
          </cell>
        </row>
        <row r="25">
          <cell r="A25">
            <v>1980</v>
          </cell>
          <cell r="B25">
            <v>774328</v>
          </cell>
          <cell r="C25">
            <v>0</v>
          </cell>
          <cell r="D25">
            <v>11779.71553513889</v>
          </cell>
          <cell r="E25">
            <v>13347.326548085097</v>
          </cell>
          <cell r="F25">
            <v>402760.73555602686</v>
          </cell>
          <cell r="G25">
            <v>24781.273753794547</v>
          </cell>
          <cell r="H25">
            <v>0</v>
          </cell>
          <cell r="I25">
            <v>232583.42110680201</v>
          </cell>
          <cell r="J25">
            <v>305082.86539783672</v>
          </cell>
          <cell r="K25">
            <v>0</v>
          </cell>
          <cell r="L25">
            <v>0</v>
          </cell>
          <cell r="M25">
            <v>159439.6108495259</v>
          </cell>
          <cell r="N25">
            <v>2762.2942919196721</v>
          </cell>
          <cell r="O25">
            <v>0</v>
          </cell>
          <cell r="P25">
            <v>0</v>
          </cell>
          <cell r="Q25">
            <v>0</v>
          </cell>
          <cell r="R25">
            <v>1152537.2430391298</v>
          </cell>
          <cell r="S25">
            <v>1.4884354473028609</v>
          </cell>
        </row>
        <row r="26">
          <cell r="A26">
            <v>1981</v>
          </cell>
          <cell r="B26">
            <v>279200</v>
          </cell>
          <cell r="C26">
            <v>0</v>
          </cell>
          <cell r="D26">
            <v>17149.140955074949</v>
          </cell>
          <cell r="E26">
            <v>0</v>
          </cell>
          <cell r="F26">
            <v>310783.93454096542</v>
          </cell>
          <cell r="G26">
            <v>7449.8050362062286</v>
          </cell>
          <cell r="H26">
            <v>0</v>
          </cell>
          <cell r="I26">
            <v>230888.86995615382</v>
          </cell>
          <cell r="J26">
            <v>328621.9882201674</v>
          </cell>
          <cell r="K26">
            <v>0</v>
          </cell>
          <cell r="L26">
            <v>0</v>
          </cell>
          <cell r="M26">
            <v>168527.0911564359</v>
          </cell>
          <cell r="N26">
            <v>28563.609815606451</v>
          </cell>
          <cell r="O26">
            <v>0</v>
          </cell>
          <cell r="P26">
            <v>0</v>
          </cell>
          <cell r="Q26">
            <v>0</v>
          </cell>
          <cell r="R26">
            <v>1091984.4396806101</v>
          </cell>
          <cell r="S26">
            <v>3.9111190532973139</v>
          </cell>
        </row>
        <row r="27">
          <cell r="A27">
            <v>1982</v>
          </cell>
          <cell r="B27">
            <v>169678</v>
          </cell>
          <cell r="C27">
            <v>0</v>
          </cell>
          <cell r="D27">
            <v>6857.1512496309797</v>
          </cell>
          <cell r="E27">
            <v>7499.8811943896435</v>
          </cell>
          <cell r="F27">
            <v>1626.1671302033526</v>
          </cell>
          <cell r="G27">
            <v>2595.7439740437098</v>
          </cell>
          <cell r="H27">
            <v>0</v>
          </cell>
          <cell r="I27">
            <v>16350.746534850372</v>
          </cell>
          <cell r="J27">
            <v>123666.84009841557</v>
          </cell>
          <cell r="K27">
            <v>0</v>
          </cell>
          <cell r="L27">
            <v>0</v>
          </cell>
          <cell r="M27">
            <v>77128.560429181525</v>
          </cell>
          <cell r="N27">
            <v>4751.1485644560462</v>
          </cell>
          <cell r="O27">
            <v>0</v>
          </cell>
          <cell r="P27">
            <v>0</v>
          </cell>
          <cell r="Q27">
            <v>0</v>
          </cell>
          <cell r="R27">
            <v>240476.23917517121</v>
          </cell>
          <cell r="S27">
            <v>1.4172505520761161</v>
          </cell>
        </row>
        <row r="28">
          <cell r="A28">
            <v>1983</v>
          </cell>
          <cell r="B28">
            <v>171415</v>
          </cell>
          <cell r="C28">
            <v>0</v>
          </cell>
          <cell r="D28">
            <v>548.14995698371899</v>
          </cell>
          <cell r="E28">
            <v>1170.7029797123282</v>
          </cell>
          <cell r="F28">
            <v>20198.229083685714</v>
          </cell>
          <cell r="G28">
            <v>15116.454209298106</v>
          </cell>
          <cell r="H28">
            <v>0</v>
          </cell>
          <cell r="I28">
            <v>72230.704774731581</v>
          </cell>
          <cell r="J28">
            <v>168055.49314226446</v>
          </cell>
          <cell r="K28">
            <v>0</v>
          </cell>
          <cell r="L28">
            <v>0</v>
          </cell>
          <cell r="M28">
            <v>104765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382084.73414667591</v>
          </cell>
          <cell r="S28">
            <v>2.2290040786785048</v>
          </cell>
        </row>
        <row r="29">
          <cell r="A29">
            <v>1984</v>
          </cell>
          <cell r="B29">
            <v>283215</v>
          </cell>
          <cell r="C29">
            <v>0</v>
          </cell>
          <cell r="D29">
            <v>7778.714326221163</v>
          </cell>
          <cell r="E29">
            <v>3311.2061344858303</v>
          </cell>
          <cell r="F29">
            <v>138184.93675705479</v>
          </cell>
          <cell r="G29">
            <v>78899.325017491181</v>
          </cell>
          <cell r="H29">
            <v>0</v>
          </cell>
          <cell r="I29">
            <v>72319</v>
          </cell>
          <cell r="J29">
            <v>197026</v>
          </cell>
          <cell r="K29">
            <v>0</v>
          </cell>
          <cell r="L29">
            <v>0</v>
          </cell>
          <cell r="M29">
            <v>103450</v>
          </cell>
          <cell r="N29">
            <v>3347</v>
          </cell>
          <cell r="O29">
            <v>0</v>
          </cell>
          <cell r="P29">
            <v>0</v>
          </cell>
          <cell r="Q29">
            <v>0</v>
          </cell>
          <cell r="R29">
            <v>604316.18223525293</v>
          </cell>
          <cell r="S29">
            <v>2.1337718067025153</v>
          </cell>
        </row>
        <row r="30">
          <cell r="A30">
            <v>1985</v>
          </cell>
          <cell r="B30">
            <v>388759</v>
          </cell>
          <cell r="C30">
            <v>0</v>
          </cell>
          <cell r="D30">
            <v>61345.063774686532</v>
          </cell>
          <cell r="E30">
            <v>3903</v>
          </cell>
          <cell r="F30">
            <v>365489</v>
          </cell>
          <cell r="G30">
            <v>18971</v>
          </cell>
          <cell r="H30">
            <v>0</v>
          </cell>
          <cell r="I30">
            <v>589731</v>
          </cell>
          <cell r="J30">
            <v>513314</v>
          </cell>
          <cell r="K30">
            <v>0</v>
          </cell>
          <cell r="L30">
            <v>0</v>
          </cell>
          <cell r="M30">
            <v>229750</v>
          </cell>
          <cell r="N30">
            <v>4276</v>
          </cell>
          <cell r="O30">
            <v>0</v>
          </cell>
          <cell r="P30">
            <v>0</v>
          </cell>
          <cell r="Q30">
            <v>0</v>
          </cell>
          <cell r="R30">
            <v>1786779.0637746865</v>
          </cell>
          <cell r="S30">
            <v>4.5961098361058816</v>
          </cell>
        </row>
        <row r="31">
          <cell r="A31">
            <v>1986</v>
          </cell>
          <cell r="B31">
            <v>318135</v>
          </cell>
          <cell r="C31">
            <v>0</v>
          </cell>
          <cell r="D31">
            <v>4480</v>
          </cell>
          <cell r="E31">
            <v>38326</v>
          </cell>
          <cell r="F31">
            <v>571371</v>
          </cell>
          <cell r="G31">
            <v>6489</v>
          </cell>
          <cell r="H31">
            <v>0</v>
          </cell>
          <cell r="I31">
            <v>506463</v>
          </cell>
          <cell r="J31">
            <v>365644</v>
          </cell>
          <cell r="K31">
            <v>0</v>
          </cell>
          <cell r="L31">
            <v>0</v>
          </cell>
          <cell r="M31">
            <v>231471</v>
          </cell>
          <cell r="N31">
            <v>5967</v>
          </cell>
          <cell r="O31">
            <v>0</v>
          </cell>
          <cell r="P31">
            <v>0</v>
          </cell>
          <cell r="Q31">
            <v>0</v>
          </cell>
          <cell r="R31">
            <v>1730211</v>
          </cell>
          <cell r="S31">
            <v>5.4386062520628036</v>
          </cell>
        </row>
        <row r="32">
          <cell r="A32">
            <v>1987</v>
          </cell>
          <cell r="B32">
            <v>261913</v>
          </cell>
          <cell r="C32">
            <v>0</v>
          </cell>
          <cell r="D32">
            <v>12991</v>
          </cell>
          <cell r="E32">
            <v>15380</v>
          </cell>
          <cell r="F32">
            <v>173341</v>
          </cell>
          <cell r="G32">
            <v>13602</v>
          </cell>
          <cell r="H32">
            <v>0</v>
          </cell>
          <cell r="I32">
            <v>103512</v>
          </cell>
          <cell r="J32">
            <v>317142</v>
          </cell>
          <cell r="K32">
            <v>0</v>
          </cell>
          <cell r="L32">
            <v>0</v>
          </cell>
          <cell r="M32">
            <v>341728</v>
          </cell>
          <cell r="N32">
            <v>32807</v>
          </cell>
          <cell r="O32">
            <v>0</v>
          </cell>
          <cell r="P32">
            <v>5063</v>
          </cell>
          <cell r="Q32">
            <v>0</v>
          </cell>
          <cell r="R32">
            <v>1015566</v>
          </cell>
          <cell r="S32">
            <v>3.8774936715626946</v>
          </cell>
        </row>
        <row r="33">
          <cell r="A33">
            <v>1988</v>
          </cell>
          <cell r="B33">
            <v>291774</v>
          </cell>
          <cell r="C33">
            <v>0</v>
          </cell>
          <cell r="D33">
            <v>2822</v>
          </cell>
          <cell r="E33">
            <v>3351</v>
          </cell>
          <cell r="F33">
            <v>81584</v>
          </cell>
          <cell r="G33">
            <v>2832</v>
          </cell>
          <cell r="H33">
            <v>0</v>
          </cell>
          <cell r="I33">
            <v>62159</v>
          </cell>
          <cell r="J33">
            <v>126124</v>
          </cell>
          <cell r="K33">
            <v>0</v>
          </cell>
          <cell r="L33">
            <v>0</v>
          </cell>
          <cell r="M33">
            <v>27783</v>
          </cell>
          <cell r="N33">
            <v>10655</v>
          </cell>
          <cell r="O33">
            <v>0</v>
          </cell>
          <cell r="P33">
            <v>8225</v>
          </cell>
          <cell r="Q33">
            <v>0</v>
          </cell>
          <cell r="R33">
            <v>325535</v>
          </cell>
          <cell r="S33">
            <v>1.1157094189338324</v>
          </cell>
        </row>
        <row r="34">
          <cell r="A34">
            <v>1989</v>
          </cell>
          <cell r="B34">
            <v>768101</v>
          </cell>
          <cell r="C34">
            <v>0</v>
          </cell>
          <cell r="D34">
            <v>2571</v>
          </cell>
          <cell r="E34">
            <v>5565</v>
          </cell>
          <cell r="F34">
            <v>26297</v>
          </cell>
          <cell r="G34">
            <v>29189</v>
          </cell>
          <cell r="H34">
            <v>0</v>
          </cell>
          <cell r="I34">
            <v>18318</v>
          </cell>
          <cell r="J34">
            <v>310379</v>
          </cell>
          <cell r="K34">
            <v>0</v>
          </cell>
          <cell r="L34">
            <v>0</v>
          </cell>
          <cell r="M34">
            <v>254557</v>
          </cell>
          <cell r="N34">
            <v>59553</v>
          </cell>
          <cell r="O34">
            <v>0</v>
          </cell>
          <cell r="P34">
            <v>46238</v>
          </cell>
          <cell r="Q34">
            <v>0</v>
          </cell>
          <cell r="R34">
            <v>752667</v>
          </cell>
          <cell r="S34">
            <v>0.97990628836572269</v>
          </cell>
        </row>
        <row r="35">
          <cell r="A35">
            <v>1990</v>
          </cell>
          <cell r="B35">
            <v>371282</v>
          </cell>
          <cell r="C35">
            <v>0</v>
          </cell>
          <cell r="D35">
            <v>1028</v>
          </cell>
          <cell r="E35">
            <v>8047</v>
          </cell>
          <cell r="F35">
            <v>3618</v>
          </cell>
          <cell r="G35">
            <v>14638</v>
          </cell>
          <cell r="H35">
            <v>0</v>
          </cell>
          <cell r="I35">
            <v>59035</v>
          </cell>
          <cell r="J35">
            <v>295167</v>
          </cell>
          <cell r="K35">
            <v>0</v>
          </cell>
          <cell r="L35">
            <v>0</v>
          </cell>
          <cell r="M35">
            <v>202600</v>
          </cell>
          <cell r="N35">
            <v>16202</v>
          </cell>
          <cell r="O35">
            <v>0</v>
          </cell>
          <cell r="P35">
            <v>102</v>
          </cell>
          <cell r="Q35">
            <v>38</v>
          </cell>
          <cell r="R35">
            <v>600475</v>
          </cell>
          <cell r="S35">
            <v>1.6173016736604522</v>
          </cell>
        </row>
        <row r="36">
          <cell r="A36">
            <v>1991</v>
          </cell>
          <cell r="B36">
            <v>384859</v>
          </cell>
          <cell r="C36">
            <v>640</v>
          </cell>
          <cell r="D36">
            <v>22371</v>
          </cell>
          <cell r="E36">
            <v>17118</v>
          </cell>
          <cell r="F36">
            <v>145925</v>
          </cell>
          <cell r="G36">
            <v>36123</v>
          </cell>
          <cell r="H36">
            <v>0</v>
          </cell>
          <cell r="I36">
            <v>393249</v>
          </cell>
          <cell r="J36">
            <v>482187</v>
          </cell>
          <cell r="K36">
            <v>0</v>
          </cell>
          <cell r="L36">
            <v>19</v>
          </cell>
          <cell r="M36">
            <v>158923</v>
          </cell>
          <cell r="N36">
            <v>5779</v>
          </cell>
          <cell r="O36">
            <v>64</v>
          </cell>
          <cell r="P36">
            <v>2796</v>
          </cell>
          <cell r="R36">
            <v>1265194</v>
          </cell>
          <cell r="S36">
            <v>3.2874221468122093</v>
          </cell>
          <cell r="T36">
            <v>1446144</v>
          </cell>
        </row>
        <row r="37">
          <cell r="A37">
            <v>1992</v>
          </cell>
          <cell r="B37">
            <v>344184</v>
          </cell>
          <cell r="C37">
            <v>4591</v>
          </cell>
          <cell r="D37">
            <v>2578</v>
          </cell>
          <cell r="E37">
            <v>9900</v>
          </cell>
          <cell r="F37">
            <v>65889</v>
          </cell>
          <cell r="G37">
            <v>24694</v>
          </cell>
          <cell r="H37">
            <v>205</v>
          </cell>
          <cell r="I37">
            <v>10135</v>
          </cell>
          <cell r="J37">
            <v>200817</v>
          </cell>
          <cell r="K37">
            <v>2188</v>
          </cell>
          <cell r="L37">
            <v>2685</v>
          </cell>
          <cell r="M37">
            <v>230460</v>
          </cell>
          <cell r="N37">
            <v>19788</v>
          </cell>
        </row>
        <row r="38">
          <cell r="A38">
            <v>1993</v>
          </cell>
          <cell r="B38">
            <v>286170</v>
          </cell>
          <cell r="C38">
            <v>0</v>
          </cell>
          <cell r="D38">
            <v>3093</v>
          </cell>
          <cell r="E38">
            <v>3678</v>
          </cell>
          <cell r="F38">
            <v>2504</v>
          </cell>
          <cell r="G38">
            <v>16283</v>
          </cell>
          <cell r="H38">
            <v>400</v>
          </cell>
          <cell r="I38">
            <v>176539</v>
          </cell>
          <cell r="J38">
            <v>409718</v>
          </cell>
          <cell r="K38">
            <v>516</v>
          </cell>
        </row>
        <row r="39">
          <cell r="A39">
            <v>1994</v>
          </cell>
          <cell r="B39">
            <v>380181</v>
          </cell>
          <cell r="C39">
            <v>465</v>
          </cell>
          <cell r="D39">
            <v>42711</v>
          </cell>
          <cell r="E39">
            <v>7275</v>
          </cell>
          <cell r="F39">
            <v>555246</v>
          </cell>
          <cell r="G39">
            <v>35908</v>
          </cell>
        </row>
        <row r="40">
          <cell r="A40">
            <v>1995</v>
          </cell>
          <cell r="B40">
            <v>317832</v>
          </cell>
          <cell r="C40">
            <v>0</v>
          </cell>
          <cell r="D40">
            <v>4711</v>
          </cell>
        </row>
        <row r="41">
          <cell r="A41">
            <v>1996</v>
          </cell>
          <cell r="B41">
            <v>337155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arly"/>
      <sheetName val="Late"/>
    </sheetNames>
    <sheetDataSet>
      <sheetData sheetId="0">
        <row r="10">
          <cell r="Y10">
            <v>1991</v>
          </cell>
          <cell r="Z10">
            <v>755845.698314065</v>
          </cell>
          <cell r="AA10">
            <v>2657530.7856268208</v>
          </cell>
        </row>
        <row r="11">
          <cell r="Y11">
            <v>1992</v>
          </cell>
          <cell r="Z11">
            <v>435594.41587249801</v>
          </cell>
          <cell r="AA11">
            <v>1403862.1373066071</v>
          </cell>
        </row>
        <row r="12">
          <cell r="Y12">
            <v>1993</v>
          </cell>
          <cell r="Z12">
            <v>432934.95219409303</v>
          </cell>
          <cell r="AA12">
            <v>1299527.0999206088</v>
          </cell>
        </row>
        <row r="13">
          <cell r="Y13">
            <v>1994</v>
          </cell>
          <cell r="Z13">
            <v>680547.89039929898</v>
          </cell>
          <cell r="AA13">
            <v>1689042.4351254632</v>
          </cell>
        </row>
        <row r="14">
          <cell r="Y14">
            <v>1995</v>
          </cell>
          <cell r="Z14">
            <v>446160.145639972</v>
          </cell>
          <cell r="AA14">
            <v>1168665.9445248577</v>
          </cell>
        </row>
        <row r="15">
          <cell r="Y15">
            <v>1996</v>
          </cell>
          <cell r="Z15">
            <v>429462.98692098598</v>
          </cell>
          <cell r="AA15">
            <v>1915878.7162008649</v>
          </cell>
        </row>
        <row r="16">
          <cell r="Y16">
            <v>1997</v>
          </cell>
          <cell r="Z16">
            <v>468839.87507183198</v>
          </cell>
          <cell r="AA16">
            <v>735599.58847910422</v>
          </cell>
        </row>
        <row r="17">
          <cell r="Y17">
            <v>1998</v>
          </cell>
          <cell r="Z17">
            <v>482890.351816501</v>
          </cell>
          <cell r="AA17">
            <v>618320.71045873547</v>
          </cell>
        </row>
        <row r="18">
          <cell r="Y18">
            <v>1999</v>
          </cell>
          <cell r="Z18">
            <v>424534.45734489697</v>
          </cell>
          <cell r="AA18">
            <v>2089710.3635145407</v>
          </cell>
        </row>
        <row r="19">
          <cell r="Y19">
            <v>2000</v>
          </cell>
          <cell r="Z19">
            <v>366081.55923102098</v>
          </cell>
          <cell r="AA19">
            <v>1475272.4057178055</v>
          </cell>
        </row>
        <row r="20">
          <cell r="Y20">
            <v>2001</v>
          </cell>
          <cell r="Z20">
            <v>835060.02804192796</v>
          </cell>
          <cell r="AA20">
            <v>1363471.9791424954</v>
          </cell>
        </row>
        <row r="21">
          <cell r="Y21">
            <v>2002</v>
          </cell>
          <cell r="Z21">
            <v>393196.05315856403</v>
          </cell>
          <cell r="AA21">
            <v>997996.97856463597</v>
          </cell>
        </row>
        <row r="22">
          <cell r="Y22">
            <v>2003</v>
          </cell>
          <cell r="Z22">
            <v>365050.37906165799</v>
          </cell>
          <cell r="AA22">
            <v>948973.50995778316</v>
          </cell>
        </row>
        <row r="23">
          <cell r="Y23">
            <v>2004</v>
          </cell>
          <cell r="Z23">
            <v>362033.276835175</v>
          </cell>
          <cell r="AA23">
            <v>1030132.29919693</v>
          </cell>
        </row>
        <row r="24">
          <cell r="Y24">
            <v>2005</v>
          </cell>
          <cell r="Z24">
            <v>335060.91297314799</v>
          </cell>
          <cell r="AA24">
            <v>1299810.5455481764</v>
          </cell>
        </row>
        <row r="25">
          <cell r="Y25">
            <v>2006</v>
          </cell>
          <cell r="Z25">
            <v>411786.12233436399</v>
          </cell>
          <cell r="AA25">
            <v>894656.39021806244</v>
          </cell>
        </row>
        <row r="26">
          <cell r="Y26">
            <v>2007</v>
          </cell>
          <cell r="Z26">
            <v>389780.93426258402</v>
          </cell>
          <cell r="AA26">
            <v>645912.18142193509</v>
          </cell>
        </row>
        <row r="27">
          <cell r="Y27">
            <v>2008</v>
          </cell>
          <cell r="Z27">
            <v>440697.10149999999</v>
          </cell>
          <cell r="AA27">
            <v>762869.2443958075</v>
          </cell>
        </row>
        <row r="28">
          <cell r="Y28">
            <v>2009</v>
          </cell>
          <cell r="Z28">
            <v>446382.57279609598</v>
          </cell>
          <cell r="AA28">
            <v>998069.41960437992</v>
          </cell>
        </row>
        <row r="29">
          <cell r="Y29">
            <v>2010</v>
          </cell>
          <cell r="Z29">
            <v>450517.62623932603</v>
          </cell>
          <cell r="AA29">
            <v>1260692.2950876229</v>
          </cell>
        </row>
        <row r="30">
          <cell r="Y30">
            <v>2011</v>
          </cell>
          <cell r="Z30">
            <v>492557.05721592403</v>
          </cell>
          <cell r="AA30">
            <v>2843737.6506448612</v>
          </cell>
        </row>
        <row r="31">
          <cell r="Y31">
            <v>2012</v>
          </cell>
          <cell r="Z31">
            <v>360709.20000334497</v>
          </cell>
          <cell r="AA31">
            <v>1468197.0204092211</v>
          </cell>
        </row>
        <row r="32">
          <cell r="Y32">
            <v>2013</v>
          </cell>
          <cell r="Z32">
            <v>404752.85158299399</v>
          </cell>
          <cell r="AA32">
            <v>2320374.988215955</v>
          </cell>
        </row>
        <row r="33">
          <cell r="Y33">
            <v>2014</v>
          </cell>
          <cell r="Z33">
            <v>353797.567217562</v>
          </cell>
          <cell r="AA33">
            <v>377681.85055628151</v>
          </cell>
        </row>
        <row r="34">
          <cell r="Y34">
            <v>2015</v>
          </cell>
          <cell r="Z34">
            <v>421848.15581495198</v>
          </cell>
          <cell r="AA34">
            <v>734796.98551218107</v>
          </cell>
        </row>
        <row r="35">
          <cell r="Y35">
            <v>2016</v>
          </cell>
          <cell r="Z35">
            <v>416711.24251143599</v>
          </cell>
          <cell r="AA35">
            <v>1271800.8387066654</v>
          </cell>
        </row>
        <row r="36">
          <cell r="Y36">
            <v>2017</v>
          </cell>
          <cell r="Z36">
            <v>420497.282866775</v>
          </cell>
          <cell r="AA36">
            <v>1014972.8122215588</v>
          </cell>
        </row>
        <row r="37">
          <cell r="Y37">
            <v>2018</v>
          </cell>
          <cell r="Z37">
            <v>182974.18886487401</v>
          </cell>
          <cell r="AA37">
            <v>183000.957451914</v>
          </cell>
        </row>
        <row r="38">
          <cell r="Y38">
            <v>2019</v>
          </cell>
          <cell r="Z38">
            <v>387110.20672223897</v>
          </cell>
          <cell r="AA38">
            <v>417811.85067535413</v>
          </cell>
        </row>
        <row r="39">
          <cell r="Y39">
            <v>2020</v>
          </cell>
          <cell r="Z39">
            <v>178785.09519061999</v>
          </cell>
          <cell r="AA39">
            <v>178785.35411297399</v>
          </cell>
        </row>
        <row r="40">
          <cell r="Y40">
            <v>2021</v>
          </cell>
          <cell r="Z40">
            <v>295725.63490901102</v>
          </cell>
          <cell r="AA40">
            <v>295903.49889526935</v>
          </cell>
        </row>
        <row r="41">
          <cell r="Y41">
            <v>2022</v>
          </cell>
          <cell r="Z41">
            <v>412228.15855690499</v>
          </cell>
          <cell r="AA41">
            <v>426720.07103767071</v>
          </cell>
        </row>
        <row r="42">
          <cell r="Y42">
            <v>2023</v>
          </cell>
          <cell r="Z42">
            <v>431283</v>
          </cell>
          <cell r="AA42">
            <v>690958.69188141753</v>
          </cell>
        </row>
        <row r="43">
          <cell r="Y43">
            <v>2024</v>
          </cell>
          <cell r="Z43">
            <v>372831</v>
          </cell>
          <cell r="AA43">
            <v>422108</v>
          </cell>
        </row>
        <row r="44">
          <cell r="Y44">
            <v>2025</v>
          </cell>
          <cell r="Z44">
            <v>399019</v>
          </cell>
          <cell r="AA44">
            <v>632037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90CD-DB96-429E-B595-13F93393B0E0}">
  <dimension ref="A1:Q63"/>
  <sheetViews>
    <sheetView workbookViewId="0">
      <selection activeCell="W24" sqref="W24"/>
    </sheetView>
  </sheetViews>
  <sheetFormatPr defaultRowHeight="14.4" x14ac:dyDescent="0.3"/>
  <sheetData>
    <row r="1" spans="1:17" x14ac:dyDescent="0.3">
      <c r="A1" t="s">
        <v>14</v>
      </c>
    </row>
    <row r="4" spans="1:17" x14ac:dyDescent="0.3">
      <c r="A4" t="s">
        <v>0</v>
      </c>
      <c r="C4" t="s">
        <v>8</v>
      </c>
    </row>
    <row r="5" spans="1:17" x14ac:dyDescent="0.3">
      <c r="A5" t="s">
        <v>2</v>
      </c>
      <c r="B5" t="s">
        <v>3</v>
      </c>
      <c r="C5">
        <v>0.1</v>
      </c>
      <c r="D5">
        <v>0.2</v>
      </c>
      <c r="E5">
        <v>1.1000000000000001</v>
      </c>
      <c r="F5">
        <v>0.3</v>
      </c>
      <c r="G5">
        <v>1.2</v>
      </c>
      <c r="H5">
        <v>2.1</v>
      </c>
      <c r="I5">
        <v>0.4</v>
      </c>
      <c r="J5">
        <v>1.3</v>
      </c>
      <c r="K5">
        <v>2.2000000000000002</v>
      </c>
      <c r="L5">
        <v>3.1</v>
      </c>
      <c r="M5">
        <v>1.4</v>
      </c>
      <c r="N5">
        <v>2.2999999999999998</v>
      </c>
      <c r="O5">
        <v>3.2</v>
      </c>
      <c r="P5">
        <v>3.3</v>
      </c>
      <c r="Q5">
        <v>2.4</v>
      </c>
    </row>
    <row r="7" spans="1:17" x14ac:dyDescent="0.3">
      <c r="A7">
        <v>1970</v>
      </c>
      <c r="B7" s="1">
        <v>36833</v>
      </c>
      <c r="C7" s="1">
        <v>0</v>
      </c>
      <c r="D7" s="1">
        <v>674.67459138187223</v>
      </c>
      <c r="E7" s="1">
        <v>12593.925705794949</v>
      </c>
      <c r="F7" s="1">
        <v>9968.6370106761569</v>
      </c>
      <c r="G7" s="1">
        <v>81964.348754448409</v>
      </c>
      <c r="H7" s="1">
        <v>4430.505338078292</v>
      </c>
      <c r="I7" s="1">
        <v>0</v>
      </c>
      <c r="J7" s="1">
        <v>9161.459854014598</v>
      </c>
      <c r="K7" s="1">
        <v>30643.503649635037</v>
      </c>
      <c r="L7" s="1">
        <v>631.82481751824821</v>
      </c>
      <c r="M7" s="1">
        <v>0</v>
      </c>
      <c r="N7" s="1">
        <v>6170.6190476190477</v>
      </c>
      <c r="O7" s="1">
        <v>1423.9890109890111</v>
      </c>
      <c r="P7" s="1">
        <v>0</v>
      </c>
      <c r="Q7" s="1">
        <v>0</v>
      </c>
    </row>
    <row r="8" spans="1:17" x14ac:dyDescent="0.3">
      <c r="A8">
        <v>1971</v>
      </c>
      <c r="B8" s="1">
        <v>95150</v>
      </c>
      <c r="C8" s="1">
        <v>449.78306092124814</v>
      </c>
      <c r="D8" s="1">
        <v>5538.131672597865</v>
      </c>
      <c r="E8" s="1">
        <v>21044.900355871887</v>
      </c>
      <c r="F8" s="1">
        <v>631.82481751824821</v>
      </c>
      <c r="G8" s="1">
        <v>10109.197080291971</v>
      </c>
      <c r="H8" s="1">
        <v>1895.4744525547446</v>
      </c>
      <c r="I8" s="1">
        <v>0</v>
      </c>
      <c r="J8" s="1">
        <v>16613.205128205129</v>
      </c>
      <c r="K8" s="1">
        <v>40346.355311355313</v>
      </c>
      <c r="L8" s="1">
        <v>0</v>
      </c>
      <c r="M8" s="1">
        <v>0</v>
      </c>
      <c r="N8" s="1">
        <v>8105.4140625</v>
      </c>
      <c r="O8" s="1">
        <v>900.6015625</v>
      </c>
      <c r="P8" s="1">
        <v>0</v>
      </c>
      <c r="Q8" s="1">
        <v>0</v>
      </c>
    </row>
    <row r="9" spans="1:17" x14ac:dyDescent="0.3">
      <c r="A9">
        <v>1972</v>
      </c>
      <c r="B9" s="1">
        <v>68351</v>
      </c>
      <c r="C9" s="1">
        <v>3322.8790035587185</v>
      </c>
      <c r="D9" s="1">
        <v>10425.109489051096</v>
      </c>
      <c r="E9" s="1">
        <v>11688.75912408759</v>
      </c>
      <c r="F9" s="1">
        <v>17562.531135531135</v>
      </c>
      <c r="G9" s="1">
        <v>39397.029304029304</v>
      </c>
      <c r="H9" s="1">
        <v>3797.304029304029</v>
      </c>
      <c r="I9" s="1">
        <v>0</v>
      </c>
      <c r="J9" s="1">
        <v>8105.4140625</v>
      </c>
      <c r="K9" s="1">
        <v>58539.1015625</v>
      </c>
      <c r="L9" s="1">
        <v>0</v>
      </c>
      <c r="M9" s="1">
        <v>0</v>
      </c>
      <c r="N9" s="1">
        <v>4027.4343434343436</v>
      </c>
      <c r="O9" s="1">
        <v>0</v>
      </c>
      <c r="P9" s="1">
        <v>0</v>
      </c>
      <c r="Q9" s="1">
        <v>0</v>
      </c>
    </row>
    <row r="10" spans="1:17" x14ac:dyDescent="0.3">
      <c r="A10">
        <v>1973</v>
      </c>
      <c r="B10" s="1">
        <v>67826</v>
      </c>
      <c r="C10" s="1">
        <v>1579.5620437956204</v>
      </c>
      <c r="D10" s="1">
        <v>1423.9890109890111</v>
      </c>
      <c r="E10" s="1">
        <v>2373.3150183150183</v>
      </c>
      <c r="F10" s="1">
        <v>1801.203125</v>
      </c>
      <c r="G10" s="1">
        <v>10807.21875</v>
      </c>
      <c r="H10" s="1">
        <v>2701.8046875</v>
      </c>
      <c r="I10" s="1">
        <v>0</v>
      </c>
      <c r="J10" s="1">
        <v>6041.151515151515</v>
      </c>
      <c r="K10" s="1">
        <v>77528.111111111109</v>
      </c>
      <c r="L10" s="1">
        <v>0</v>
      </c>
      <c r="M10" s="1">
        <v>0</v>
      </c>
      <c r="N10" s="1">
        <v>7925.8148148148148</v>
      </c>
      <c r="O10" s="1">
        <v>0</v>
      </c>
      <c r="P10" s="1">
        <v>0</v>
      </c>
      <c r="Q10" s="1">
        <v>0</v>
      </c>
    </row>
    <row r="11" spans="1:17" x14ac:dyDescent="0.3">
      <c r="A11">
        <v>1974</v>
      </c>
      <c r="B11" s="1">
        <v>251234</v>
      </c>
      <c r="C11" s="1">
        <v>0</v>
      </c>
      <c r="D11" s="1">
        <v>0</v>
      </c>
      <c r="E11" s="1">
        <v>23415.640625</v>
      </c>
      <c r="F11" s="1">
        <v>0</v>
      </c>
      <c r="G11" s="1">
        <v>107733.86868686869</v>
      </c>
      <c r="H11" s="1">
        <v>1006.8585858585859</v>
      </c>
      <c r="I11" s="1">
        <v>0</v>
      </c>
      <c r="J11" s="1">
        <v>22645.185185185186</v>
      </c>
      <c r="K11" s="1">
        <v>294387.40740740742</v>
      </c>
      <c r="L11" s="1">
        <v>0</v>
      </c>
      <c r="M11" s="1">
        <v>0</v>
      </c>
      <c r="N11" s="1">
        <v>7679.7383177570091</v>
      </c>
      <c r="O11" s="1">
        <v>7039.7601246105914</v>
      </c>
      <c r="P11" s="1">
        <v>0</v>
      </c>
      <c r="Q11" s="1">
        <v>0</v>
      </c>
    </row>
    <row r="12" spans="1:17" x14ac:dyDescent="0.3">
      <c r="A12">
        <v>1975</v>
      </c>
      <c r="B12" s="1">
        <v>74456</v>
      </c>
      <c r="C12" s="1">
        <v>900.6015625</v>
      </c>
      <c r="D12" s="1">
        <v>3020.5757575757575</v>
      </c>
      <c r="E12" s="1">
        <v>0</v>
      </c>
      <c r="F12" s="1">
        <v>0</v>
      </c>
      <c r="G12" s="1">
        <v>61142</v>
      </c>
      <c r="H12" s="1">
        <v>1132.2592592592594</v>
      </c>
      <c r="I12" s="1">
        <v>0</v>
      </c>
      <c r="J12" s="1">
        <v>36478.757009345798</v>
      </c>
      <c r="K12" s="1">
        <v>76157.404984423672</v>
      </c>
      <c r="L12" s="1">
        <v>0</v>
      </c>
      <c r="M12" s="1">
        <v>0</v>
      </c>
      <c r="N12" s="1">
        <v>5227.9298245614036</v>
      </c>
      <c r="O12" s="1">
        <v>0</v>
      </c>
      <c r="P12" s="1">
        <v>0</v>
      </c>
      <c r="Q12" s="1">
        <v>0</v>
      </c>
    </row>
    <row r="13" spans="1:17" x14ac:dyDescent="0.3">
      <c r="A13">
        <v>1976</v>
      </c>
      <c r="B13" s="1">
        <v>48650</v>
      </c>
      <c r="C13" s="1">
        <v>0</v>
      </c>
      <c r="D13" s="1">
        <v>10190.333333333334</v>
      </c>
      <c r="E13" s="1">
        <v>0</v>
      </c>
      <c r="F13" s="1">
        <v>36478.757009345798</v>
      </c>
      <c r="G13" s="1">
        <v>38398.691588785048</v>
      </c>
      <c r="H13" s="1">
        <v>2559.9127725856697</v>
      </c>
      <c r="I13" s="1">
        <v>0</v>
      </c>
      <c r="J13" s="1">
        <v>11501.445614035089</v>
      </c>
      <c r="K13" s="1">
        <v>141154.10526315789</v>
      </c>
      <c r="L13" s="1">
        <v>0</v>
      </c>
      <c r="M13" s="1">
        <v>0</v>
      </c>
      <c r="N13" s="1">
        <v>10335.942363112392</v>
      </c>
      <c r="O13" s="1">
        <v>939.63112391930838</v>
      </c>
      <c r="P13" s="1">
        <v>0</v>
      </c>
      <c r="Q13" s="1">
        <v>0</v>
      </c>
    </row>
    <row r="14" spans="1:17" x14ac:dyDescent="0.3">
      <c r="A14">
        <v>1977</v>
      </c>
      <c r="B14" s="1">
        <v>49001</v>
      </c>
      <c r="C14" s="1">
        <v>0</v>
      </c>
      <c r="D14" s="1">
        <v>639.97819314641742</v>
      </c>
      <c r="E14" s="1">
        <v>0</v>
      </c>
      <c r="F14" s="1">
        <v>3136.757894736842</v>
      </c>
      <c r="G14" s="1">
        <v>52279.298245614038</v>
      </c>
      <c r="H14" s="1">
        <v>1045.5859649122806</v>
      </c>
      <c r="I14" s="1">
        <v>0</v>
      </c>
      <c r="J14" s="1">
        <v>66713.809798270901</v>
      </c>
      <c r="K14" s="1">
        <v>312897.16426512972</v>
      </c>
      <c r="L14" s="1">
        <v>0</v>
      </c>
      <c r="M14" s="1">
        <v>0</v>
      </c>
      <c r="N14" s="1">
        <v>9731.7125748502986</v>
      </c>
      <c r="O14" s="1">
        <v>0</v>
      </c>
      <c r="P14" s="1">
        <v>0</v>
      </c>
      <c r="Q14" s="1">
        <v>0</v>
      </c>
    </row>
    <row r="15" spans="1:17" x14ac:dyDescent="0.3">
      <c r="A15">
        <v>1978</v>
      </c>
      <c r="B15" s="1">
        <v>38126</v>
      </c>
      <c r="C15" s="1">
        <v>0</v>
      </c>
      <c r="D15" s="1">
        <v>82601.291228070171</v>
      </c>
      <c r="E15" s="1">
        <v>1045.5859649122806</v>
      </c>
      <c r="F15" s="1">
        <v>90204.587896253593</v>
      </c>
      <c r="G15" s="1">
        <v>134367.2507204611</v>
      </c>
      <c r="H15" s="1">
        <v>4698.1556195965413</v>
      </c>
      <c r="I15" s="1">
        <v>0</v>
      </c>
      <c r="J15" s="1">
        <v>55146.371257485029</v>
      </c>
      <c r="K15" s="1">
        <v>217341.58083832334</v>
      </c>
      <c r="L15" s="1">
        <v>0</v>
      </c>
      <c r="M15" s="1">
        <v>0</v>
      </c>
      <c r="N15" s="1">
        <v>26755</v>
      </c>
      <c r="O15" s="1">
        <v>2638</v>
      </c>
      <c r="P15" s="1">
        <v>0</v>
      </c>
      <c r="Q15" s="1">
        <v>0</v>
      </c>
    </row>
    <row r="16" spans="1:17" x14ac:dyDescent="0.3">
      <c r="A16">
        <v>1979</v>
      </c>
      <c r="B16" s="1">
        <v>134579</v>
      </c>
      <c r="C16" s="1">
        <v>0</v>
      </c>
      <c r="D16" s="1">
        <v>31947.458213256483</v>
      </c>
      <c r="E16" s="1">
        <v>0</v>
      </c>
      <c r="F16" s="1">
        <v>63256.131736526942</v>
      </c>
      <c r="G16" s="1">
        <v>71365.892215568863</v>
      </c>
      <c r="H16" s="1">
        <v>0</v>
      </c>
      <c r="I16" s="1">
        <v>0</v>
      </c>
      <c r="J16" s="1">
        <v>103020</v>
      </c>
      <c r="K16" s="1">
        <v>339950</v>
      </c>
      <c r="L16" s="1">
        <v>0</v>
      </c>
      <c r="M16" s="1">
        <v>736</v>
      </c>
      <c r="N16" s="1">
        <v>10850</v>
      </c>
      <c r="O16" s="1">
        <v>360</v>
      </c>
      <c r="P16" s="1">
        <v>280</v>
      </c>
      <c r="Q16" s="1">
        <v>0</v>
      </c>
    </row>
    <row r="17" spans="1:17" x14ac:dyDescent="0.3">
      <c r="A17">
        <v>1980</v>
      </c>
      <c r="B17" s="1">
        <v>77718</v>
      </c>
      <c r="C17" s="1">
        <v>0</v>
      </c>
      <c r="D17" s="1">
        <v>124890.31137724551</v>
      </c>
      <c r="E17" s="1">
        <v>0</v>
      </c>
      <c r="F17" s="1">
        <v>56178</v>
      </c>
      <c r="G17" s="1">
        <v>35951</v>
      </c>
      <c r="H17" s="1">
        <v>2131</v>
      </c>
      <c r="I17" s="1">
        <v>0</v>
      </c>
      <c r="J17" s="1">
        <v>21758</v>
      </c>
      <c r="K17" s="1">
        <v>55472</v>
      </c>
      <c r="L17" s="1">
        <v>399</v>
      </c>
      <c r="M17" s="1">
        <v>0</v>
      </c>
      <c r="N17" s="1">
        <v>16555</v>
      </c>
      <c r="O17" s="1">
        <v>965</v>
      </c>
      <c r="P17" s="1">
        <v>223</v>
      </c>
      <c r="Q17" s="1">
        <v>0</v>
      </c>
    </row>
    <row r="18" spans="1:17" x14ac:dyDescent="0.3">
      <c r="A18">
        <v>1981</v>
      </c>
      <c r="B18" s="1">
        <v>118900</v>
      </c>
      <c r="C18" s="1">
        <v>0</v>
      </c>
      <c r="D18" s="1">
        <v>1294</v>
      </c>
      <c r="E18" s="1">
        <v>0</v>
      </c>
      <c r="F18" s="1">
        <v>17853</v>
      </c>
      <c r="G18" s="1">
        <v>157249</v>
      </c>
      <c r="H18" s="1">
        <v>12280</v>
      </c>
      <c r="I18" s="1">
        <v>1007</v>
      </c>
      <c r="J18" s="1">
        <v>149158</v>
      </c>
      <c r="K18" s="1">
        <v>345506</v>
      </c>
      <c r="L18" s="1">
        <v>0</v>
      </c>
      <c r="M18" s="1">
        <v>0</v>
      </c>
      <c r="N18" s="1">
        <v>14809</v>
      </c>
      <c r="O18" s="1">
        <v>0</v>
      </c>
      <c r="P18" s="1">
        <v>0</v>
      </c>
      <c r="Q18" s="1">
        <v>879</v>
      </c>
    </row>
    <row r="19" spans="1:17" x14ac:dyDescent="0.3">
      <c r="A19">
        <v>1982</v>
      </c>
      <c r="B19" s="1">
        <v>306161</v>
      </c>
      <c r="C19" s="1">
        <v>0</v>
      </c>
      <c r="D19" s="1">
        <v>644017</v>
      </c>
      <c r="E19" s="1">
        <v>5129</v>
      </c>
      <c r="F19" s="1">
        <v>324600</v>
      </c>
      <c r="G19" s="1">
        <v>364312</v>
      </c>
      <c r="H19" s="1">
        <v>5029</v>
      </c>
      <c r="I19" s="1">
        <v>117</v>
      </c>
      <c r="J19" s="1">
        <v>92824</v>
      </c>
      <c r="K19" s="1">
        <v>231963</v>
      </c>
      <c r="L19" s="1">
        <v>0</v>
      </c>
      <c r="M19" s="1">
        <v>0</v>
      </c>
      <c r="N19" s="1">
        <v>5168</v>
      </c>
      <c r="O19" s="1">
        <v>2042</v>
      </c>
      <c r="P19" s="1">
        <v>0</v>
      </c>
      <c r="Q19" s="1">
        <v>0</v>
      </c>
    </row>
    <row r="20" spans="1:17" x14ac:dyDescent="0.3">
      <c r="A20">
        <v>1983</v>
      </c>
      <c r="B20" s="1">
        <v>179741</v>
      </c>
      <c r="C20" s="1">
        <v>4867</v>
      </c>
      <c r="D20" s="1">
        <v>182514</v>
      </c>
      <c r="E20" s="1">
        <v>0</v>
      </c>
      <c r="F20" s="1">
        <v>135177</v>
      </c>
      <c r="G20" s="1">
        <v>23242</v>
      </c>
      <c r="H20" s="1">
        <v>1682</v>
      </c>
      <c r="I20" s="1">
        <v>0</v>
      </c>
      <c r="J20" s="1">
        <v>53195</v>
      </c>
      <c r="K20" s="1">
        <v>92799</v>
      </c>
      <c r="L20" s="1">
        <v>0</v>
      </c>
      <c r="M20" s="1">
        <v>0</v>
      </c>
      <c r="N20" s="1">
        <v>30036</v>
      </c>
      <c r="O20" s="1">
        <v>0</v>
      </c>
      <c r="P20" s="1">
        <v>1487.5725596994225</v>
      </c>
      <c r="Q20" s="1">
        <v>0</v>
      </c>
    </row>
    <row r="21" spans="1:17" x14ac:dyDescent="0.3">
      <c r="A21">
        <v>1984</v>
      </c>
      <c r="B21" s="1">
        <v>239608</v>
      </c>
      <c r="C21" s="1">
        <v>3012</v>
      </c>
      <c r="D21" s="1">
        <v>37733</v>
      </c>
      <c r="E21" s="1">
        <v>528</v>
      </c>
      <c r="F21" s="1">
        <v>89721</v>
      </c>
      <c r="G21" s="1">
        <v>187451</v>
      </c>
      <c r="H21" s="1">
        <v>5064</v>
      </c>
      <c r="I21" s="1">
        <v>0</v>
      </c>
      <c r="J21" s="1">
        <v>21543</v>
      </c>
      <c r="K21" s="1">
        <v>224033</v>
      </c>
      <c r="L21" s="1">
        <v>0</v>
      </c>
      <c r="M21" s="1">
        <v>0</v>
      </c>
      <c r="N21" s="1">
        <v>23711.54815038959</v>
      </c>
      <c r="O21" s="1">
        <v>4641.9432887006078</v>
      </c>
      <c r="P21" s="1">
        <v>0</v>
      </c>
      <c r="Q21" s="1">
        <v>0</v>
      </c>
    </row>
    <row r="22" spans="1:17" x14ac:dyDescent="0.3">
      <c r="A22">
        <v>1985</v>
      </c>
      <c r="B22" s="1">
        <v>408409</v>
      </c>
      <c r="C22" s="1">
        <v>2313</v>
      </c>
      <c r="D22" s="1">
        <v>562757</v>
      </c>
      <c r="E22" s="1">
        <v>1958</v>
      </c>
      <c r="F22" s="1">
        <v>309775</v>
      </c>
      <c r="G22" s="1">
        <v>34924</v>
      </c>
      <c r="H22" s="1">
        <v>12374</v>
      </c>
      <c r="I22" s="1">
        <v>0</v>
      </c>
      <c r="J22" s="1">
        <v>40759.488135764179</v>
      </c>
      <c r="K22" s="1">
        <v>179838.56118718008</v>
      </c>
      <c r="L22" s="1">
        <v>0</v>
      </c>
      <c r="M22" s="1">
        <v>578.10245915181156</v>
      </c>
      <c r="N22" s="1">
        <v>45288.859137768675</v>
      </c>
      <c r="O22" s="1">
        <v>6140.3855796395128</v>
      </c>
      <c r="P22" s="1">
        <v>0</v>
      </c>
      <c r="Q22" s="1">
        <v>0</v>
      </c>
    </row>
    <row r="23" spans="1:17" x14ac:dyDescent="0.3">
      <c r="A23">
        <v>1986</v>
      </c>
      <c r="B23" s="1">
        <v>367922</v>
      </c>
      <c r="C23" s="1">
        <v>1449</v>
      </c>
      <c r="D23" s="1">
        <v>72415</v>
      </c>
      <c r="E23" s="1">
        <v>1953</v>
      </c>
      <c r="F23" s="1">
        <v>94380.206016592274</v>
      </c>
      <c r="G23" s="1">
        <v>291815.13755453011</v>
      </c>
      <c r="H23" s="1">
        <v>5609.7615805532441</v>
      </c>
      <c r="I23" s="1">
        <v>678.09856019428719</v>
      </c>
      <c r="J23" s="1">
        <v>116039.22550347768</v>
      </c>
      <c r="K23" s="1">
        <v>451916.75427068019</v>
      </c>
      <c r="L23" s="1">
        <v>0</v>
      </c>
      <c r="M23" s="1">
        <v>0</v>
      </c>
      <c r="N23" s="1">
        <v>17721.28766962135</v>
      </c>
      <c r="O23" s="1">
        <v>1578.8094870312875</v>
      </c>
      <c r="P23" s="1">
        <v>1289</v>
      </c>
      <c r="Q23" s="1">
        <v>6</v>
      </c>
    </row>
    <row r="24" spans="1:17" x14ac:dyDescent="0.3">
      <c r="A24">
        <v>1987</v>
      </c>
      <c r="B24" s="1">
        <v>156274</v>
      </c>
      <c r="C24" s="1">
        <v>0</v>
      </c>
      <c r="D24" s="1">
        <v>68016.118844088051</v>
      </c>
      <c r="E24" s="1">
        <v>494.66268250245861</v>
      </c>
      <c r="F24" s="1">
        <v>113820.56201159775</v>
      </c>
      <c r="G24" s="1">
        <v>12899.497034479342</v>
      </c>
      <c r="H24" s="1">
        <v>127</v>
      </c>
      <c r="I24" s="1">
        <v>0</v>
      </c>
      <c r="J24" s="1">
        <v>17052.840104547617</v>
      </c>
      <c r="K24" s="1">
        <v>104995.07499910491</v>
      </c>
      <c r="L24" s="1">
        <v>0</v>
      </c>
      <c r="M24" s="1">
        <v>225</v>
      </c>
      <c r="N24" s="1">
        <v>27470</v>
      </c>
      <c r="O24" s="1">
        <v>15072</v>
      </c>
      <c r="P24" s="1">
        <v>39</v>
      </c>
      <c r="Q24" s="1">
        <v>0</v>
      </c>
    </row>
    <row r="25" spans="1:17" x14ac:dyDescent="0.3">
      <c r="A25">
        <v>1988</v>
      </c>
      <c r="B25" s="1">
        <v>247647</v>
      </c>
      <c r="C25" s="1">
        <v>0</v>
      </c>
      <c r="D25" s="1">
        <v>9221.5154430107887</v>
      </c>
      <c r="E25" s="1">
        <v>216</v>
      </c>
      <c r="F25" s="1">
        <v>27792.564316732223</v>
      </c>
      <c r="G25" s="1">
        <v>76582.870399828142</v>
      </c>
      <c r="H25" s="1">
        <v>1000</v>
      </c>
      <c r="I25" s="1">
        <v>0</v>
      </c>
      <c r="J25" s="1">
        <v>71330</v>
      </c>
      <c r="K25" s="1">
        <v>80102</v>
      </c>
      <c r="L25" s="1">
        <v>177</v>
      </c>
      <c r="M25" s="1">
        <v>133</v>
      </c>
      <c r="N25" s="1">
        <v>4037</v>
      </c>
      <c r="O25" s="1">
        <v>1244</v>
      </c>
      <c r="P25" s="1">
        <v>0</v>
      </c>
      <c r="Q25" s="1">
        <v>0</v>
      </c>
    </row>
    <row r="26" spans="1:17" x14ac:dyDescent="0.3">
      <c r="A26">
        <v>1989</v>
      </c>
      <c r="B26" s="1">
        <v>221706</v>
      </c>
      <c r="C26" s="1">
        <v>401</v>
      </c>
      <c r="D26" s="1">
        <v>169157.5530231345</v>
      </c>
      <c r="E26" s="1">
        <v>1125</v>
      </c>
      <c r="F26" s="1">
        <v>85530</v>
      </c>
      <c r="G26" s="1">
        <v>83807</v>
      </c>
      <c r="H26" s="1">
        <v>12864</v>
      </c>
      <c r="I26" s="1">
        <v>142</v>
      </c>
      <c r="J26" s="1">
        <v>53928</v>
      </c>
      <c r="K26" s="1">
        <v>184067</v>
      </c>
      <c r="L26" s="1">
        <v>308</v>
      </c>
      <c r="M26" s="1">
        <v>0</v>
      </c>
      <c r="N26" s="1">
        <v>21693</v>
      </c>
      <c r="O26" s="1">
        <v>0</v>
      </c>
      <c r="P26" s="1">
        <v>0</v>
      </c>
      <c r="Q26" s="1">
        <v>0</v>
      </c>
    </row>
    <row r="27" spans="1:17" x14ac:dyDescent="0.3">
      <c r="A27">
        <v>1990</v>
      </c>
      <c r="B27" s="1">
        <v>198287</v>
      </c>
      <c r="C27" s="1">
        <v>1432</v>
      </c>
      <c r="D27" s="1">
        <v>56992</v>
      </c>
      <c r="E27" s="1">
        <v>3904</v>
      </c>
      <c r="F27" s="1">
        <v>115907</v>
      </c>
      <c r="G27" s="1">
        <v>27747</v>
      </c>
      <c r="H27" s="1">
        <v>7728</v>
      </c>
      <c r="I27" s="1">
        <v>444</v>
      </c>
      <c r="J27" s="1">
        <v>17591</v>
      </c>
      <c r="K27" s="1">
        <v>237284</v>
      </c>
      <c r="L27" s="1">
        <v>0</v>
      </c>
      <c r="M27" s="1">
        <v>0</v>
      </c>
      <c r="N27" s="1">
        <v>4315</v>
      </c>
      <c r="O27" s="1">
        <v>0</v>
      </c>
      <c r="P27" s="1">
        <v>67</v>
      </c>
      <c r="Q27" s="1">
        <v>0</v>
      </c>
    </row>
    <row r="28" spans="1:17" x14ac:dyDescent="0.3">
      <c r="A28">
        <v>1991</v>
      </c>
      <c r="B28" s="1">
        <v>242860</v>
      </c>
      <c r="C28" s="1">
        <v>6744</v>
      </c>
      <c r="D28" s="1">
        <v>51810</v>
      </c>
      <c r="E28" s="1">
        <v>4858</v>
      </c>
      <c r="F28" s="1">
        <v>163283</v>
      </c>
      <c r="G28" s="1">
        <v>73541</v>
      </c>
      <c r="H28" s="1">
        <v>6484</v>
      </c>
      <c r="I28" s="1">
        <v>160</v>
      </c>
      <c r="J28" s="1">
        <v>44507</v>
      </c>
      <c r="K28" s="1">
        <v>712676</v>
      </c>
      <c r="L28" s="1">
        <v>31</v>
      </c>
      <c r="M28" s="1">
        <v>0</v>
      </c>
      <c r="N28" s="1">
        <v>20546</v>
      </c>
      <c r="O28" s="1">
        <v>0</v>
      </c>
      <c r="P28" s="1">
        <v>0</v>
      </c>
      <c r="Q28" s="1">
        <v>0</v>
      </c>
    </row>
    <row r="29" spans="1:17" x14ac:dyDescent="0.3">
      <c r="A29">
        <v>1992</v>
      </c>
      <c r="B29" s="1">
        <v>199067</v>
      </c>
      <c r="C29" s="1">
        <v>4913</v>
      </c>
      <c r="D29" s="1">
        <v>61018</v>
      </c>
      <c r="E29" s="1">
        <v>1108</v>
      </c>
      <c r="F29" s="1">
        <v>15733</v>
      </c>
      <c r="G29" s="1">
        <v>58923</v>
      </c>
      <c r="H29" s="1">
        <v>12611</v>
      </c>
      <c r="I29" s="1">
        <v>79</v>
      </c>
      <c r="J29" s="1">
        <v>6302</v>
      </c>
      <c r="K29" s="1">
        <v>279349</v>
      </c>
      <c r="L29" s="1">
        <v>0</v>
      </c>
      <c r="M29" s="1">
        <v>0</v>
      </c>
      <c r="N29" s="1">
        <v>7189</v>
      </c>
      <c r="O29" s="1">
        <v>156</v>
      </c>
      <c r="P29" s="1">
        <v>192</v>
      </c>
      <c r="Q29" s="1">
        <v>26</v>
      </c>
    </row>
    <row r="30" spans="1:17" x14ac:dyDescent="0.3">
      <c r="A30">
        <v>1993</v>
      </c>
      <c r="B30" s="1">
        <v>187229</v>
      </c>
      <c r="C30" s="1">
        <v>5186</v>
      </c>
      <c r="D30" s="1">
        <v>46015</v>
      </c>
      <c r="E30" s="1">
        <v>5688</v>
      </c>
      <c r="F30" s="1">
        <v>114817</v>
      </c>
      <c r="G30" s="1">
        <v>35842</v>
      </c>
      <c r="H30" s="1">
        <v>45256</v>
      </c>
      <c r="I30" s="1">
        <v>444</v>
      </c>
      <c r="J30" s="1">
        <v>10769</v>
      </c>
      <c r="K30" s="1">
        <v>199820</v>
      </c>
      <c r="L30" s="1">
        <v>191</v>
      </c>
      <c r="M30" s="1">
        <v>278</v>
      </c>
      <c r="N30" s="1">
        <v>27883</v>
      </c>
      <c r="O30" s="1">
        <v>5350</v>
      </c>
      <c r="P30" s="1">
        <v>0</v>
      </c>
      <c r="Q30" s="1">
        <v>0</v>
      </c>
    </row>
    <row r="31" spans="1:17" x14ac:dyDescent="0.3">
      <c r="A31">
        <v>1994</v>
      </c>
      <c r="B31" s="1">
        <v>221675</v>
      </c>
      <c r="C31" s="1">
        <v>1417</v>
      </c>
      <c r="D31" s="1">
        <v>10206</v>
      </c>
      <c r="E31" s="1">
        <v>6322</v>
      </c>
      <c r="F31" s="1">
        <v>23167</v>
      </c>
      <c r="G31" s="1">
        <v>90488</v>
      </c>
      <c r="H31" s="1">
        <v>17439</v>
      </c>
      <c r="I31" s="1">
        <v>44</v>
      </c>
      <c r="J31" s="1">
        <v>25603</v>
      </c>
      <c r="K31" s="1">
        <v>293322</v>
      </c>
      <c r="L31" s="1">
        <v>80</v>
      </c>
      <c r="M31" s="1">
        <v>0</v>
      </c>
      <c r="N31" s="1">
        <v>6069</v>
      </c>
      <c r="O31" s="1">
        <v>968</v>
      </c>
      <c r="P31" s="1">
        <v>0</v>
      </c>
      <c r="Q31" s="1">
        <v>0</v>
      </c>
    </row>
    <row r="32" spans="1:17" x14ac:dyDescent="0.3">
      <c r="A32">
        <v>1995</v>
      </c>
      <c r="B32" s="1">
        <v>203659</v>
      </c>
      <c r="C32" s="1">
        <v>233</v>
      </c>
      <c r="D32" s="1">
        <v>3020</v>
      </c>
      <c r="E32" s="1">
        <v>3340</v>
      </c>
      <c r="F32" s="1">
        <v>3349</v>
      </c>
      <c r="G32" s="1">
        <v>179562</v>
      </c>
      <c r="H32" s="1">
        <v>24492</v>
      </c>
      <c r="I32" s="1">
        <v>0</v>
      </c>
      <c r="J32" s="1">
        <v>13017</v>
      </c>
      <c r="K32" s="1">
        <v>251855</v>
      </c>
      <c r="L32" s="1">
        <v>0</v>
      </c>
      <c r="M32" s="1">
        <v>254</v>
      </c>
      <c r="N32" s="1">
        <v>14264</v>
      </c>
      <c r="O32" s="1">
        <v>307</v>
      </c>
      <c r="P32" s="1">
        <v>247</v>
      </c>
      <c r="Q32" s="1">
        <v>20</v>
      </c>
    </row>
    <row r="33" spans="1:17" x14ac:dyDescent="0.3">
      <c r="A33">
        <v>1996</v>
      </c>
      <c r="B33" s="1">
        <v>235727</v>
      </c>
      <c r="C33" s="1">
        <v>277</v>
      </c>
      <c r="D33" s="1">
        <v>1972</v>
      </c>
      <c r="E33" s="1">
        <v>6536</v>
      </c>
      <c r="F33" s="1">
        <v>1335</v>
      </c>
      <c r="G33" s="1">
        <v>35606</v>
      </c>
      <c r="H33" s="1">
        <v>4057</v>
      </c>
      <c r="I33" s="1">
        <v>0</v>
      </c>
      <c r="J33" s="1">
        <v>15478</v>
      </c>
      <c r="K33" s="1">
        <v>88856</v>
      </c>
      <c r="L33" s="1">
        <v>121</v>
      </c>
      <c r="M33" s="1">
        <v>1</v>
      </c>
      <c r="N33" s="1">
        <v>4856</v>
      </c>
      <c r="O33" s="1">
        <v>2282</v>
      </c>
      <c r="P33" s="1">
        <v>0</v>
      </c>
      <c r="Q33" s="1">
        <v>1500</v>
      </c>
    </row>
    <row r="34" spans="1:17" x14ac:dyDescent="0.3">
      <c r="A34">
        <v>1997</v>
      </c>
      <c r="B34" s="1">
        <v>230793</v>
      </c>
      <c r="C34" s="1">
        <v>0</v>
      </c>
      <c r="D34" s="1">
        <v>347</v>
      </c>
      <c r="E34" s="1">
        <v>0</v>
      </c>
      <c r="F34" s="1">
        <v>916</v>
      </c>
      <c r="G34" s="1">
        <v>2842</v>
      </c>
      <c r="H34" s="1">
        <v>11901</v>
      </c>
      <c r="I34" s="1">
        <v>0</v>
      </c>
      <c r="J34" s="1">
        <v>1932</v>
      </c>
      <c r="K34" s="1">
        <v>129206</v>
      </c>
      <c r="L34" s="1">
        <v>1984</v>
      </c>
      <c r="M34" s="1">
        <v>130</v>
      </c>
      <c r="N34" s="1">
        <v>8502</v>
      </c>
      <c r="O34" s="1">
        <v>17554</v>
      </c>
      <c r="P34" s="1">
        <v>1942</v>
      </c>
      <c r="Q34" s="1">
        <v>0</v>
      </c>
    </row>
    <row r="35" spans="1:17" x14ac:dyDescent="0.3">
      <c r="A35">
        <v>1998</v>
      </c>
      <c r="B35" s="1">
        <v>171214</v>
      </c>
      <c r="C35" s="1">
        <v>0</v>
      </c>
      <c r="D35" s="1">
        <v>0</v>
      </c>
      <c r="E35" s="1">
        <v>89</v>
      </c>
      <c r="F35" s="1">
        <v>0</v>
      </c>
      <c r="G35" s="1">
        <v>2511</v>
      </c>
      <c r="H35" s="1">
        <v>13979</v>
      </c>
      <c r="I35" s="1">
        <v>0</v>
      </c>
      <c r="J35" s="1">
        <v>3281</v>
      </c>
      <c r="K35" s="1">
        <v>219890</v>
      </c>
      <c r="L35" s="1">
        <v>25325</v>
      </c>
      <c r="M35" s="1">
        <v>0</v>
      </c>
      <c r="N35" s="1">
        <v>13190</v>
      </c>
      <c r="O35" s="1">
        <v>890</v>
      </c>
      <c r="P35" s="1">
        <v>0</v>
      </c>
      <c r="Q35" s="1">
        <v>0</v>
      </c>
    </row>
    <row r="36" spans="1:17" x14ac:dyDescent="0.3">
      <c r="A36">
        <v>1999</v>
      </c>
      <c r="B36" s="1">
        <v>210016</v>
      </c>
      <c r="C36" s="1">
        <v>0</v>
      </c>
      <c r="D36" s="1">
        <v>279</v>
      </c>
      <c r="E36" s="1">
        <v>2323</v>
      </c>
      <c r="F36" s="1">
        <v>672</v>
      </c>
      <c r="G36" s="1">
        <v>80315</v>
      </c>
      <c r="H36" s="1">
        <v>15939</v>
      </c>
      <c r="I36" s="1">
        <v>0</v>
      </c>
      <c r="J36" s="1">
        <v>20091</v>
      </c>
      <c r="K36" s="1">
        <v>313886</v>
      </c>
      <c r="L36" s="1">
        <v>19</v>
      </c>
      <c r="M36" s="1">
        <v>345.99640499999998</v>
      </c>
      <c r="N36" s="1">
        <v>40906.344330823646</v>
      </c>
      <c r="O36" s="1">
        <v>5360.1656685990702</v>
      </c>
      <c r="P36" s="1">
        <v>464.85908000000006</v>
      </c>
      <c r="Q36" s="1">
        <v>8.6218000000000004</v>
      </c>
    </row>
    <row r="37" spans="1:17" x14ac:dyDescent="0.3">
      <c r="A37">
        <v>2000</v>
      </c>
      <c r="B37" s="1">
        <v>176783</v>
      </c>
      <c r="C37" s="1">
        <v>96</v>
      </c>
      <c r="D37" s="1">
        <v>34433</v>
      </c>
      <c r="E37" s="1">
        <v>5197</v>
      </c>
      <c r="F37" s="1">
        <v>36394</v>
      </c>
      <c r="G37" s="1">
        <v>122248</v>
      </c>
      <c r="H37" s="1">
        <v>4045</v>
      </c>
      <c r="I37" s="1">
        <v>98.086084999999997</v>
      </c>
      <c r="J37" s="1">
        <v>30388.337674976076</v>
      </c>
      <c r="K37" s="1">
        <v>181491.29356832069</v>
      </c>
      <c r="L37" s="1">
        <v>0</v>
      </c>
      <c r="M37" s="1">
        <v>30.502823211893261</v>
      </c>
      <c r="N37" s="1">
        <v>16677.375741992044</v>
      </c>
      <c r="O37" s="1">
        <v>985.5329633930146</v>
      </c>
      <c r="P37" s="1">
        <v>186.86056326927718</v>
      </c>
      <c r="Q37" s="1">
        <v>164.97679702430952</v>
      </c>
    </row>
    <row r="38" spans="1:17" x14ac:dyDescent="0.3">
      <c r="A38">
        <v>2001</v>
      </c>
      <c r="B38" s="1">
        <v>74408</v>
      </c>
      <c r="C38" s="1">
        <v>0</v>
      </c>
      <c r="D38" s="1">
        <v>522</v>
      </c>
      <c r="E38" s="1">
        <v>215</v>
      </c>
      <c r="F38" s="1">
        <v>1700.728443</v>
      </c>
      <c r="G38" s="1">
        <v>5695.7241897006697</v>
      </c>
      <c r="H38" s="1">
        <v>8309.7818789359644</v>
      </c>
      <c r="I38" s="1">
        <v>0</v>
      </c>
      <c r="J38" s="1">
        <v>7078.1615667543065</v>
      </c>
      <c r="K38" s="1">
        <v>77172.100845000008</v>
      </c>
      <c r="L38" s="1">
        <v>0</v>
      </c>
      <c r="M38" s="1">
        <v>77.776185527572551</v>
      </c>
      <c r="N38" s="1">
        <v>9899.7205898432549</v>
      </c>
      <c r="O38" s="1">
        <v>300.22930000000002</v>
      </c>
      <c r="P38" s="1">
        <v>0</v>
      </c>
      <c r="Q38" s="1">
        <v>0</v>
      </c>
    </row>
    <row r="39" spans="1:17" x14ac:dyDescent="0.3">
      <c r="A39">
        <v>2002</v>
      </c>
      <c r="B39" s="1">
        <v>150349</v>
      </c>
      <c r="C39" s="1">
        <v>411</v>
      </c>
      <c r="D39" s="1">
        <v>2420.8327899999999</v>
      </c>
      <c r="E39" s="1">
        <v>3964.7658999999999</v>
      </c>
      <c r="F39" s="1">
        <v>7179.1733699999995</v>
      </c>
      <c r="G39" s="1">
        <v>94542.824684431806</v>
      </c>
      <c r="H39" s="1">
        <v>8085.0600999999997</v>
      </c>
      <c r="I39" s="1">
        <v>0</v>
      </c>
      <c r="J39" s="1">
        <v>21608.760161642618</v>
      </c>
      <c r="K39" s="1">
        <v>95472.918850584829</v>
      </c>
      <c r="L39" s="1">
        <v>0</v>
      </c>
      <c r="M39" s="1">
        <v>0</v>
      </c>
      <c r="N39" s="1">
        <v>13729.647900637072</v>
      </c>
      <c r="O39" s="1">
        <v>0</v>
      </c>
      <c r="P39" s="1">
        <v>0</v>
      </c>
      <c r="Q39" s="1">
        <v>234.56996621420922</v>
      </c>
    </row>
    <row r="40" spans="1:17" x14ac:dyDescent="0.3">
      <c r="A40">
        <v>2003</v>
      </c>
      <c r="B40" s="1">
        <v>200894</v>
      </c>
      <c r="C40" s="1">
        <v>43.326300000000003</v>
      </c>
      <c r="D40" s="1">
        <v>888.23811499999999</v>
      </c>
      <c r="E40" s="1">
        <v>1667.4757999999999</v>
      </c>
      <c r="F40" s="1">
        <v>337.13777500000003</v>
      </c>
      <c r="G40" s="1">
        <v>51307.466622919179</v>
      </c>
      <c r="H40" s="1">
        <v>7445.8623490426871</v>
      </c>
      <c r="I40" s="1">
        <v>0</v>
      </c>
      <c r="J40" s="1">
        <v>16130.919212551235</v>
      </c>
      <c r="K40" s="1">
        <v>256511.37889287254</v>
      </c>
      <c r="L40" s="1">
        <v>0</v>
      </c>
      <c r="M40" s="1">
        <v>357.43081740000002</v>
      </c>
      <c r="N40" s="1">
        <v>15308.283659345738</v>
      </c>
      <c r="O40" s="1">
        <v>547.54129999999998</v>
      </c>
      <c r="P40" s="1">
        <v>0</v>
      </c>
      <c r="Q40" s="1">
        <v>0</v>
      </c>
    </row>
    <row r="41" spans="1:17" x14ac:dyDescent="0.3">
      <c r="A41">
        <v>2004</v>
      </c>
      <c r="B41" s="1">
        <v>177108</v>
      </c>
      <c r="C41" s="1">
        <v>668.93449999999996</v>
      </c>
      <c r="D41" s="1">
        <v>5264.2863649999999</v>
      </c>
      <c r="E41" s="1">
        <v>1535.3135690887839</v>
      </c>
      <c r="F41" s="1">
        <v>24844.565760840382</v>
      </c>
      <c r="G41" s="1">
        <v>99159.717891083972</v>
      </c>
      <c r="H41" s="1">
        <v>7094.102200115195</v>
      </c>
      <c r="I41" s="1">
        <v>0</v>
      </c>
      <c r="J41" s="1">
        <v>29761.26080108478</v>
      </c>
      <c r="K41" s="1">
        <v>255956.98327000125</v>
      </c>
      <c r="L41" s="1">
        <v>181</v>
      </c>
      <c r="M41" s="1">
        <v>0</v>
      </c>
      <c r="N41" s="1">
        <v>5576.973560027659</v>
      </c>
      <c r="O41" s="1">
        <v>1456.508486278276</v>
      </c>
      <c r="P41" s="1">
        <v>185.00221668345989</v>
      </c>
      <c r="Q41" s="1">
        <v>0</v>
      </c>
    </row>
    <row r="42" spans="1:17" x14ac:dyDescent="0.3">
      <c r="A42">
        <v>2005</v>
      </c>
      <c r="B42" s="1">
        <v>156401</v>
      </c>
      <c r="C42" s="1">
        <v>139.34379999999999</v>
      </c>
      <c r="D42" s="1">
        <v>2827.702565</v>
      </c>
      <c r="E42" s="1">
        <v>2423.1938440305712</v>
      </c>
      <c r="F42" s="1">
        <v>3067.0316688469966</v>
      </c>
      <c r="G42" s="1">
        <v>20932.649734165869</v>
      </c>
      <c r="H42" s="1">
        <v>20082.065172974308</v>
      </c>
      <c r="I42" s="1">
        <v>0</v>
      </c>
      <c r="J42" s="1">
        <v>6256.1529480998015</v>
      </c>
      <c r="K42" s="1">
        <v>171458.26992795832</v>
      </c>
      <c r="L42" s="1">
        <v>152.67690420301858</v>
      </c>
      <c r="M42" s="1">
        <v>0</v>
      </c>
      <c r="N42" s="1">
        <v>8693.9031151267409</v>
      </c>
      <c r="O42" s="1">
        <v>3149.748190332316</v>
      </c>
      <c r="P42" s="1">
        <v>0</v>
      </c>
      <c r="Q42" s="1">
        <v>4.3881311875567386</v>
      </c>
    </row>
    <row r="43" spans="1:17" x14ac:dyDescent="0.3">
      <c r="A43">
        <v>2006</v>
      </c>
      <c r="B43" s="1">
        <v>153153</v>
      </c>
      <c r="C43" s="1">
        <v>0</v>
      </c>
      <c r="D43" s="1">
        <v>931.36421739999992</v>
      </c>
      <c r="E43" s="1">
        <v>1560.6645000000001</v>
      </c>
      <c r="F43" s="1">
        <v>177.28430119809894</v>
      </c>
      <c r="G43" s="1">
        <v>10326.657762003575</v>
      </c>
      <c r="H43" s="1">
        <v>8207.2770447899074</v>
      </c>
      <c r="I43" s="1">
        <v>0</v>
      </c>
      <c r="J43" s="1">
        <v>5266.7176697019122</v>
      </c>
      <c r="K43" s="1">
        <v>126317.03001762486</v>
      </c>
      <c r="L43" s="1">
        <v>181.66524372789797</v>
      </c>
      <c r="M43" s="1">
        <v>74.39267581385198</v>
      </c>
      <c r="N43" s="1">
        <v>3987.8234613214559</v>
      </c>
      <c r="O43" s="1">
        <v>6115.4727805569792</v>
      </c>
      <c r="P43" s="1">
        <v>531.46895960213817</v>
      </c>
      <c r="Q43" s="1">
        <v>3.9862248202581912E-2</v>
      </c>
    </row>
    <row r="44" spans="1:17" x14ac:dyDescent="0.3">
      <c r="A44">
        <v>2007</v>
      </c>
      <c r="B44" s="1">
        <v>149709</v>
      </c>
      <c r="C44" s="1">
        <v>217.7758</v>
      </c>
      <c r="D44" s="1">
        <v>59.007069173165803</v>
      </c>
      <c r="E44" s="1">
        <v>787.2320144281922</v>
      </c>
      <c r="F44" s="1">
        <v>287.01168362274518</v>
      </c>
      <c r="G44" s="1">
        <v>12235.389060782016</v>
      </c>
      <c r="H44" s="1">
        <v>11857.996809456727</v>
      </c>
      <c r="I44" s="1">
        <v>0</v>
      </c>
      <c r="J44" s="1">
        <v>10285.938997996211</v>
      </c>
      <c r="K44" s="1">
        <v>140872.32723645412</v>
      </c>
      <c r="L44" s="1">
        <v>46.186258219995864</v>
      </c>
      <c r="M44" s="1">
        <v>276.9367835121958</v>
      </c>
      <c r="N44" s="1">
        <v>8838.016774715561</v>
      </c>
      <c r="O44" s="1">
        <v>240.90399206397097</v>
      </c>
      <c r="P44" s="1">
        <v>0</v>
      </c>
      <c r="Q44" s="1">
        <v>0</v>
      </c>
    </row>
    <row r="45" spans="1:17" x14ac:dyDescent="0.3">
      <c r="A45">
        <v>2008</v>
      </c>
      <c r="B45" s="1">
        <v>184856</v>
      </c>
      <c r="C45" s="1">
        <v>0</v>
      </c>
      <c r="D45" s="1">
        <v>0</v>
      </c>
      <c r="E45" s="1">
        <v>2217.4793886769739</v>
      </c>
      <c r="F45" s="1">
        <v>348.7785716310342</v>
      </c>
      <c r="G45" s="1">
        <v>40340.273768381012</v>
      </c>
      <c r="H45" s="1">
        <v>7760.6768807308545</v>
      </c>
      <c r="I45" s="1">
        <v>0</v>
      </c>
      <c r="J45" s="1">
        <v>10195.570895777166</v>
      </c>
      <c r="K45" s="1">
        <v>105046.7952666528</v>
      </c>
      <c r="L45" s="1">
        <v>943.24688255098147</v>
      </c>
      <c r="M45" s="1">
        <v>0</v>
      </c>
      <c r="N45" s="1">
        <v>5639.1767971569152</v>
      </c>
      <c r="O45" s="1">
        <v>0</v>
      </c>
      <c r="P45" s="1">
        <v>0</v>
      </c>
      <c r="Q45" s="1">
        <v>0</v>
      </c>
    </row>
    <row r="46" spans="1:17" x14ac:dyDescent="0.3">
      <c r="A46">
        <v>2009</v>
      </c>
      <c r="B46" s="1">
        <v>161736</v>
      </c>
      <c r="C46" s="1">
        <v>375.62978142572081</v>
      </c>
      <c r="D46" s="1">
        <v>2236.3380590568972</v>
      </c>
      <c r="E46" s="1">
        <v>1526.6833140504989</v>
      </c>
      <c r="F46" s="1">
        <v>5796.2819013061253</v>
      </c>
      <c r="G46" s="1">
        <v>8546.2169730499845</v>
      </c>
      <c r="H46" s="1">
        <v>16773.278401932839</v>
      </c>
      <c r="I46" s="1">
        <v>0</v>
      </c>
      <c r="J46" s="1">
        <v>3941.5273005767604</v>
      </c>
      <c r="K46" s="1">
        <v>171267.72899960965</v>
      </c>
      <c r="L46" s="1">
        <v>0</v>
      </c>
      <c r="M46" s="1">
        <v>0</v>
      </c>
      <c r="N46" s="1">
        <v>23034</v>
      </c>
      <c r="O46" s="1">
        <v>250</v>
      </c>
      <c r="P46" s="1">
        <v>0</v>
      </c>
      <c r="Q46" s="1">
        <v>0</v>
      </c>
    </row>
    <row r="47" spans="1:17" x14ac:dyDescent="0.3">
      <c r="A47">
        <v>2010</v>
      </c>
      <c r="B47" s="1">
        <v>141139</v>
      </c>
      <c r="C47" s="1">
        <v>58.084562050279175</v>
      </c>
      <c r="D47" s="1">
        <v>148.89728138645972</v>
      </c>
      <c r="E47" s="1">
        <v>2065.5058101259788</v>
      </c>
      <c r="F47" s="1">
        <v>38</v>
      </c>
      <c r="G47" s="1">
        <v>9380.1547149107573</v>
      </c>
      <c r="H47" s="1">
        <v>3244.8561504098939</v>
      </c>
      <c r="I47" s="1">
        <v>0</v>
      </c>
      <c r="J47" s="1">
        <v>4197</v>
      </c>
      <c r="K47" s="1">
        <v>115614</v>
      </c>
      <c r="L47" s="1">
        <v>24</v>
      </c>
      <c r="M47" s="1">
        <v>0</v>
      </c>
      <c r="N47" s="1">
        <v>1408.0662</v>
      </c>
      <c r="O47" s="1">
        <v>1764.0562214631034</v>
      </c>
      <c r="P47" s="1">
        <v>0</v>
      </c>
      <c r="Q47" s="1">
        <v>0</v>
      </c>
    </row>
    <row r="48" spans="1:17" x14ac:dyDescent="0.3">
      <c r="A48">
        <v>2011</v>
      </c>
      <c r="B48" s="1">
        <v>101893</v>
      </c>
      <c r="C48" s="1">
        <v>0</v>
      </c>
      <c r="D48" s="1">
        <v>7</v>
      </c>
      <c r="E48" s="1">
        <v>533</v>
      </c>
      <c r="F48" s="1">
        <v>5790</v>
      </c>
      <c r="G48" s="1">
        <v>26119</v>
      </c>
      <c r="H48" s="1">
        <v>7436</v>
      </c>
      <c r="I48" s="1">
        <v>0</v>
      </c>
      <c r="J48" s="1">
        <v>7459.506242306481</v>
      </c>
      <c r="K48" s="1">
        <v>101502.97875138762</v>
      </c>
      <c r="L48" s="1">
        <v>7.6387999999999998</v>
      </c>
      <c r="M48" s="1">
        <v>0</v>
      </c>
      <c r="N48" s="1">
        <v>7308.2974024269788</v>
      </c>
      <c r="O48" s="1">
        <v>667.25932513089697</v>
      </c>
      <c r="P48" s="1">
        <v>0</v>
      </c>
      <c r="Q48" s="1">
        <v>0</v>
      </c>
    </row>
    <row r="49" spans="1:17" x14ac:dyDescent="0.3">
      <c r="A49">
        <v>2012</v>
      </c>
      <c r="B49" s="1">
        <v>149325</v>
      </c>
      <c r="C49" s="1">
        <v>0</v>
      </c>
      <c r="D49" s="1">
        <v>1699</v>
      </c>
      <c r="E49" s="1">
        <v>1927</v>
      </c>
      <c r="F49" s="1">
        <v>3637.2713645491576</v>
      </c>
      <c r="G49" s="1">
        <v>56889.823711029028</v>
      </c>
      <c r="H49" s="1">
        <v>5747.9102183236491</v>
      </c>
      <c r="I49" s="1">
        <v>0</v>
      </c>
      <c r="J49" s="1">
        <v>45364.441900309655</v>
      </c>
      <c r="K49" s="1">
        <v>142714.52542432694</v>
      </c>
      <c r="L49" s="1">
        <v>0</v>
      </c>
      <c r="M49" s="1">
        <v>0</v>
      </c>
      <c r="N49" s="1">
        <v>9326.0541012553113</v>
      </c>
      <c r="O49" s="1">
        <v>373.15618629713242</v>
      </c>
      <c r="P49" s="1">
        <v>0</v>
      </c>
      <c r="Q49" s="1">
        <v>0</v>
      </c>
    </row>
    <row r="50" spans="1:17" x14ac:dyDescent="0.3">
      <c r="A50">
        <v>2013</v>
      </c>
      <c r="B50" s="1">
        <v>125573</v>
      </c>
      <c r="C50" s="1">
        <v>579</v>
      </c>
      <c r="D50" s="1">
        <v>7761.6997056692862</v>
      </c>
      <c r="E50" s="1">
        <v>3277.965221469266</v>
      </c>
      <c r="F50" s="1">
        <v>13052.8052294872</v>
      </c>
      <c r="G50" s="1">
        <v>65306.905356174131</v>
      </c>
      <c r="H50" s="1">
        <v>14126.098083429752</v>
      </c>
      <c r="I50" s="1">
        <v>0</v>
      </c>
      <c r="J50" s="1">
        <v>9024.8818466020057</v>
      </c>
      <c r="K50" s="1">
        <v>178257.40886059959</v>
      </c>
      <c r="L50" s="1">
        <v>0</v>
      </c>
      <c r="M50" s="1">
        <v>0</v>
      </c>
      <c r="N50" s="1">
        <v>3425.2746958710827</v>
      </c>
      <c r="O50" s="1">
        <v>0</v>
      </c>
      <c r="P50" s="1">
        <v>0</v>
      </c>
      <c r="Q50" s="1">
        <v>0</v>
      </c>
    </row>
    <row r="51" spans="1:17" x14ac:dyDescent="0.3">
      <c r="A51">
        <v>2014</v>
      </c>
      <c r="B51" s="1">
        <v>181411</v>
      </c>
      <c r="C51" s="1">
        <v>592.53459999999995</v>
      </c>
      <c r="D51" s="1">
        <v>10525.6939817447</v>
      </c>
      <c r="E51" s="1">
        <v>2734.4050969448904</v>
      </c>
      <c r="F51" s="1">
        <v>4676.2157427590428</v>
      </c>
      <c r="G51" s="1">
        <v>147013.26025142695</v>
      </c>
      <c r="H51" s="1">
        <v>2289.2872562171756</v>
      </c>
      <c r="I51" s="1">
        <v>0</v>
      </c>
      <c r="J51" s="1">
        <v>9828.7140862448159</v>
      </c>
      <c r="K51" s="1">
        <v>113308.02324471784</v>
      </c>
      <c r="L51" s="1">
        <v>0</v>
      </c>
      <c r="M51" s="1">
        <v>0</v>
      </c>
      <c r="N51" s="1">
        <v>11476.011546552671</v>
      </c>
      <c r="O51" s="1">
        <v>0</v>
      </c>
      <c r="P51" s="1">
        <v>0</v>
      </c>
      <c r="Q51" s="1">
        <v>0</v>
      </c>
    </row>
    <row r="52" spans="1:17" x14ac:dyDescent="0.3">
      <c r="A52">
        <v>2015</v>
      </c>
      <c r="B52" s="1">
        <v>132864</v>
      </c>
      <c r="C52" s="1">
        <v>3744.6459769607804</v>
      </c>
      <c r="D52" s="1">
        <v>29948.151660004121</v>
      </c>
      <c r="E52" s="1">
        <v>3106.7673052760915</v>
      </c>
      <c r="F52" s="1">
        <v>11163.410070973459</v>
      </c>
      <c r="G52" s="1">
        <v>32155.520592636592</v>
      </c>
      <c r="H52" s="1">
        <v>6651.9947533222721</v>
      </c>
      <c r="I52" s="1">
        <v>0</v>
      </c>
      <c r="J52" s="1">
        <v>20191.666761432563</v>
      </c>
      <c r="K52" s="1">
        <v>89333.98290759878</v>
      </c>
      <c r="L52" s="1">
        <v>0</v>
      </c>
      <c r="M52" s="1">
        <v>0</v>
      </c>
      <c r="N52" s="1">
        <v>3833.5122253771069</v>
      </c>
      <c r="O52" s="1">
        <v>0</v>
      </c>
      <c r="P52" s="1">
        <v>0</v>
      </c>
      <c r="Q52" s="1">
        <v>0</v>
      </c>
    </row>
    <row r="53" spans="1:17" x14ac:dyDescent="0.3">
      <c r="A53">
        <v>2016</v>
      </c>
      <c r="B53" s="1">
        <v>145013.00009999998</v>
      </c>
      <c r="C53" s="1">
        <v>0</v>
      </c>
      <c r="D53" s="1">
        <v>3089.6329716272244</v>
      </c>
      <c r="E53" s="1">
        <v>8891.1227750904582</v>
      </c>
      <c r="F53" s="1">
        <v>1043.0310752241762</v>
      </c>
      <c r="G53" s="1">
        <v>167292.7186864751</v>
      </c>
      <c r="H53" s="1">
        <v>11222.761437375741</v>
      </c>
      <c r="I53" s="1">
        <v>0</v>
      </c>
      <c r="J53" s="1">
        <v>47474.589216256391</v>
      </c>
      <c r="K53" s="1">
        <v>213590.01002162346</v>
      </c>
      <c r="L53" s="1">
        <v>0</v>
      </c>
      <c r="M53" s="1">
        <v>0</v>
      </c>
      <c r="N53" s="1">
        <v>5854.414064472352</v>
      </c>
      <c r="O53" s="1">
        <v>0</v>
      </c>
      <c r="P53" s="1">
        <v>0</v>
      </c>
      <c r="Q53" s="1">
        <v>0</v>
      </c>
    </row>
    <row r="54" spans="1:17" x14ac:dyDescent="0.3">
      <c r="A54">
        <v>2017</v>
      </c>
      <c r="B54" s="1">
        <v>208425</v>
      </c>
      <c r="C54" s="1">
        <v>1808.5463611083865</v>
      </c>
      <c r="D54" s="1">
        <v>21833.971320517634</v>
      </c>
      <c r="E54" s="1">
        <v>9241.2972326664349</v>
      </c>
      <c r="F54" s="1">
        <v>29444.425127964729</v>
      </c>
      <c r="G54" s="1">
        <v>274334.47993083857</v>
      </c>
      <c r="H54" s="1">
        <v>28778.187462813505</v>
      </c>
      <c r="I54" s="1">
        <v>0</v>
      </c>
      <c r="J54" s="1">
        <v>51556.927516016091</v>
      </c>
      <c r="K54" s="1">
        <v>141712.67089499446</v>
      </c>
      <c r="L54" s="1">
        <v>0</v>
      </c>
      <c r="M54" s="1">
        <v>154.55714254400024</v>
      </c>
      <c r="N54" s="1">
        <v>5348.755768858211</v>
      </c>
      <c r="O54" s="1">
        <v>0</v>
      </c>
      <c r="P54" s="1">
        <v>0</v>
      </c>
      <c r="Q54" s="1">
        <v>0</v>
      </c>
    </row>
    <row r="55" spans="1:17" x14ac:dyDescent="0.3">
      <c r="A55">
        <v>2018</v>
      </c>
      <c r="B55" s="1">
        <v>235668.99700000003</v>
      </c>
      <c r="C55" s="1">
        <v>439.95514883559383</v>
      </c>
      <c r="D55" s="1">
        <v>26359.763737809153</v>
      </c>
      <c r="E55" s="1">
        <v>5763.2031291140866</v>
      </c>
      <c r="F55" s="1">
        <v>7336.4375976844931</v>
      </c>
      <c r="G55" s="1">
        <v>53152.727877906887</v>
      </c>
      <c r="H55" s="1">
        <v>1945.7884505812904</v>
      </c>
      <c r="I55" s="1">
        <v>0</v>
      </c>
      <c r="J55" s="1">
        <v>20730.703489012183</v>
      </c>
      <c r="K55" s="1">
        <v>217272.43144676732</v>
      </c>
      <c r="L55" s="1">
        <v>0</v>
      </c>
      <c r="M55" s="1">
        <v>0</v>
      </c>
      <c r="N55" s="1">
        <v>5836.2454557636793</v>
      </c>
      <c r="O55" s="1">
        <v>0</v>
      </c>
      <c r="P55" s="1">
        <v>0</v>
      </c>
      <c r="Q55" s="1">
        <v>0</v>
      </c>
    </row>
    <row r="56" spans="1:17" x14ac:dyDescent="0.3">
      <c r="A56">
        <v>2019</v>
      </c>
      <c r="B56" s="1">
        <v>165146</v>
      </c>
      <c r="C56" s="1">
        <v>0</v>
      </c>
      <c r="D56" s="1">
        <v>834.15236581312865</v>
      </c>
      <c r="E56" s="1">
        <v>2083.5462079381759</v>
      </c>
      <c r="F56" s="1">
        <v>0</v>
      </c>
      <c r="G56" s="1">
        <v>50055.854329349269</v>
      </c>
      <c r="H56" s="1">
        <v>2751.2586101135012</v>
      </c>
      <c r="I56" s="1">
        <v>0</v>
      </c>
      <c r="J56" s="1">
        <v>7065.1807066851916</v>
      </c>
      <c r="K56" s="1">
        <v>118371.35376472023</v>
      </c>
      <c r="L56" s="1">
        <v>0</v>
      </c>
      <c r="M56" s="1">
        <v>0</v>
      </c>
      <c r="N56" s="1">
        <v>3401.7628461813197</v>
      </c>
      <c r="O56" s="1">
        <v>533.78295033341237</v>
      </c>
      <c r="P56" s="1"/>
      <c r="Q56" s="1"/>
    </row>
    <row r="57" spans="1:17" x14ac:dyDescent="0.3">
      <c r="A57">
        <v>2020</v>
      </c>
      <c r="B57" s="1">
        <v>195147.12200000003</v>
      </c>
      <c r="C57" s="1">
        <v>0</v>
      </c>
      <c r="D57" s="1">
        <v>0</v>
      </c>
      <c r="E57" s="1">
        <v>9131.2831479698016</v>
      </c>
      <c r="F57" s="1">
        <v>0</v>
      </c>
      <c r="G57" s="1">
        <v>264670.72307636426</v>
      </c>
      <c r="H57" s="1">
        <v>19187.338103980157</v>
      </c>
      <c r="I57" s="1">
        <v>0</v>
      </c>
      <c r="J57" s="1">
        <v>25933.344586038369</v>
      </c>
      <c r="K57" s="1">
        <v>188328.04639584938</v>
      </c>
      <c r="L57" s="1">
        <v>0</v>
      </c>
      <c r="M57" s="1"/>
      <c r="N57" s="1"/>
      <c r="O57" s="1"/>
      <c r="P57" s="1"/>
      <c r="Q57" s="1"/>
    </row>
    <row r="58" spans="1:17" x14ac:dyDescent="0.3">
      <c r="A58">
        <v>2021</v>
      </c>
      <c r="B58" s="1">
        <v>355506.99995499384</v>
      </c>
      <c r="C58" s="1">
        <v>0</v>
      </c>
      <c r="D58" s="1">
        <v>951.98004312573926</v>
      </c>
      <c r="E58" s="1">
        <v>3289.6677673933668</v>
      </c>
      <c r="F58" s="1">
        <v>1116.8435348213097</v>
      </c>
      <c r="G58" s="1">
        <v>37122.548421362924</v>
      </c>
      <c r="H58" s="1">
        <v>17617.523873480164</v>
      </c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>
        <v>2022</v>
      </c>
      <c r="B59" s="1">
        <v>168880</v>
      </c>
      <c r="C59" s="1">
        <v>0</v>
      </c>
      <c r="D59" s="1">
        <v>0</v>
      </c>
      <c r="E59" s="1">
        <v>6851.2818248265012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">
      <c r="A60">
        <v>2023</v>
      </c>
      <c r="B60" s="1">
        <v>181390</v>
      </c>
      <c r="C60" s="1">
        <v>1225.6683933331519</v>
      </c>
    </row>
    <row r="61" spans="1:17" x14ac:dyDescent="0.3">
      <c r="A61">
        <v>2024</v>
      </c>
      <c r="B61" s="1">
        <v>222131</v>
      </c>
    </row>
    <row r="62" spans="1:17" x14ac:dyDescent="0.3">
      <c r="A62">
        <v>2025</v>
      </c>
      <c r="B62" s="1">
        <v>162325</v>
      </c>
    </row>
    <row r="63" spans="1:17" x14ac:dyDescent="0.3">
      <c r="B6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4476-BD9F-4917-8071-605A4D702E05}">
  <dimension ref="A1:Q64"/>
  <sheetViews>
    <sheetView topLeftCell="A3" workbookViewId="0">
      <selection activeCell="R32" sqref="R32"/>
    </sheetView>
  </sheetViews>
  <sheetFormatPr defaultRowHeight="14.4" x14ac:dyDescent="0.3"/>
  <cols>
    <col min="2" max="2" width="11.5546875" bestFit="1" customWidth="1"/>
    <col min="3" max="3" width="9.33203125" bestFit="1" customWidth="1"/>
    <col min="4" max="4" width="9.5546875" bestFit="1" customWidth="1"/>
    <col min="5" max="6" width="10.5546875" bestFit="1" customWidth="1"/>
    <col min="7" max="7" width="11.5546875" bestFit="1" customWidth="1"/>
    <col min="8" max="8" width="10.5546875" bestFit="1" customWidth="1"/>
    <col min="9" max="9" width="9.33203125" bestFit="1" customWidth="1"/>
    <col min="10" max="10" width="10.5546875" bestFit="1" customWidth="1"/>
    <col min="11" max="11" width="11.5546875" bestFit="1" customWidth="1"/>
    <col min="12" max="13" width="9.33203125" bestFit="1" customWidth="1"/>
    <col min="14" max="14" width="10.5546875" bestFit="1" customWidth="1"/>
    <col min="15" max="16" width="9.5546875" bestFit="1" customWidth="1"/>
    <col min="17" max="17" width="9.33203125" bestFit="1" customWidth="1"/>
  </cols>
  <sheetData>
    <row r="1" spans="1:17" x14ac:dyDescent="0.3">
      <c r="A1" t="s">
        <v>13</v>
      </c>
    </row>
    <row r="4" spans="1:17" x14ac:dyDescent="0.3">
      <c r="A4" t="s">
        <v>0</v>
      </c>
      <c r="J4" t="s">
        <v>8</v>
      </c>
    </row>
    <row r="5" spans="1:17" x14ac:dyDescent="0.3">
      <c r="A5" t="s">
        <v>2</v>
      </c>
      <c r="B5" t="s">
        <v>3</v>
      </c>
      <c r="C5">
        <v>0.1</v>
      </c>
      <c r="D5">
        <v>0.2</v>
      </c>
      <c r="E5">
        <v>1.1000000000000001</v>
      </c>
      <c r="F5">
        <v>0.3</v>
      </c>
      <c r="G5">
        <v>1.2</v>
      </c>
      <c r="H5">
        <v>2.1</v>
      </c>
      <c r="I5">
        <v>0.4</v>
      </c>
      <c r="J5">
        <v>1.3</v>
      </c>
      <c r="K5">
        <v>2.2000000000000002</v>
      </c>
      <c r="L5">
        <v>3.1</v>
      </c>
      <c r="M5">
        <v>1.4</v>
      </c>
      <c r="N5">
        <v>2.2999999999999998</v>
      </c>
      <c r="O5">
        <v>3.2</v>
      </c>
      <c r="P5">
        <v>3.3</v>
      </c>
      <c r="Q5">
        <v>2.4</v>
      </c>
    </row>
    <row r="7" spans="1:17" x14ac:dyDescent="0.3">
      <c r="A7">
        <v>1969</v>
      </c>
      <c r="B7" s="3">
        <v>22509</v>
      </c>
      <c r="C7" s="3">
        <v>0</v>
      </c>
      <c r="D7" s="3">
        <v>317</v>
      </c>
      <c r="E7" s="3">
        <v>0</v>
      </c>
      <c r="F7" s="3">
        <v>1406</v>
      </c>
      <c r="G7" s="3">
        <v>3094</v>
      </c>
      <c r="H7" s="3">
        <v>281</v>
      </c>
      <c r="I7" s="3">
        <v>263</v>
      </c>
      <c r="J7" s="3">
        <v>9979</v>
      </c>
      <c r="K7" s="3">
        <v>11554</v>
      </c>
      <c r="L7" s="3">
        <v>0</v>
      </c>
      <c r="M7" s="3">
        <v>62</v>
      </c>
      <c r="N7" s="3">
        <v>3516</v>
      </c>
      <c r="O7" s="3">
        <v>62</v>
      </c>
      <c r="P7" s="3">
        <v>0</v>
      </c>
      <c r="Q7" s="3">
        <v>0</v>
      </c>
    </row>
    <row r="8" spans="1:17" x14ac:dyDescent="0.3">
      <c r="A8">
        <v>1970</v>
      </c>
      <c r="B8" s="3">
        <v>16168</v>
      </c>
      <c r="C8" s="3">
        <v>0</v>
      </c>
      <c r="D8" s="3">
        <v>375</v>
      </c>
      <c r="E8" s="3">
        <v>188</v>
      </c>
      <c r="F8" s="3">
        <v>788</v>
      </c>
      <c r="G8" s="3">
        <v>2889</v>
      </c>
      <c r="H8" s="3">
        <v>263</v>
      </c>
      <c r="I8" s="3">
        <v>0</v>
      </c>
      <c r="J8" s="3">
        <v>1850</v>
      </c>
      <c r="K8" s="3">
        <v>3269</v>
      </c>
      <c r="L8" s="3">
        <v>0</v>
      </c>
      <c r="M8" s="3">
        <v>0</v>
      </c>
      <c r="N8" s="3">
        <v>1469</v>
      </c>
      <c r="O8" s="3">
        <v>367</v>
      </c>
      <c r="P8" s="3">
        <v>0</v>
      </c>
      <c r="Q8" s="3">
        <v>0</v>
      </c>
    </row>
    <row r="9" spans="1:17" x14ac:dyDescent="0.3">
      <c r="A9">
        <v>1971</v>
      </c>
      <c r="B9" s="3">
        <v>32529</v>
      </c>
      <c r="C9" s="3">
        <v>0</v>
      </c>
      <c r="D9" s="3">
        <v>0</v>
      </c>
      <c r="E9" s="3">
        <v>0</v>
      </c>
      <c r="F9" s="3">
        <v>185</v>
      </c>
      <c r="G9" s="3">
        <v>1234</v>
      </c>
      <c r="H9" s="3">
        <v>370</v>
      </c>
      <c r="I9" s="3">
        <v>0</v>
      </c>
      <c r="J9" s="3">
        <v>5876</v>
      </c>
      <c r="K9" s="3">
        <v>15976</v>
      </c>
      <c r="L9" s="3">
        <v>0</v>
      </c>
      <c r="M9" s="3">
        <v>0</v>
      </c>
      <c r="N9" s="3">
        <v>2263</v>
      </c>
      <c r="O9" s="3">
        <v>0</v>
      </c>
      <c r="P9" s="3">
        <v>0</v>
      </c>
      <c r="Q9" s="3">
        <v>0</v>
      </c>
    </row>
    <row r="10" spans="1:17" x14ac:dyDescent="0.3">
      <c r="A10">
        <v>1972</v>
      </c>
      <c r="B10" s="3">
        <v>39613</v>
      </c>
      <c r="C10" s="3">
        <v>0</v>
      </c>
      <c r="D10" s="3">
        <v>185</v>
      </c>
      <c r="E10" s="3">
        <v>62</v>
      </c>
      <c r="F10" s="3">
        <v>1102</v>
      </c>
      <c r="G10" s="3">
        <v>5693</v>
      </c>
      <c r="H10" s="3">
        <v>184</v>
      </c>
      <c r="I10" s="3">
        <v>0</v>
      </c>
      <c r="J10" s="3">
        <v>3482</v>
      </c>
      <c r="K10" s="3">
        <v>18977</v>
      </c>
      <c r="L10" s="3">
        <v>0</v>
      </c>
      <c r="M10" s="3">
        <v>0</v>
      </c>
      <c r="N10" s="3">
        <v>8603</v>
      </c>
      <c r="O10" s="3">
        <v>574</v>
      </c>
      <c r="P10" s="3">
        <v>208</v>
      </c>
      <c r="Q10" s="3">
        <v>0</v>
      </c>
    </row>
    <row r="11" spans="1:17" x14ac:dyDescent="0.3">
      <c r="A11">
        <v>1973</v>
      </c>
      <c r="B11" s="3">
        <v>26892</v>
      </c>
      <c r="C11" s="3">
        <v>0</v>
      </c>
      <c r="D11" s="3">
        <v>0</v>
      </c>
      <c r="E11" s="3">
        <v>0</v>
      </c>
      <c r="F11" s="3">
        <v>174</v>
      </c>
      <c r="G11" s="3">
        <v>522</v>
      </c>
      <c r="H11" s="3">
        <v>696</v>
      </c>
      <c r="I11" s="3">
        <v>0</v>
      </c>
      <c r="J11" s="3">
        <v>3728</v>
      </c>
      <c r="K11" s="3">
        <v>41006</v>
      </c>
      <c r="L11" s="3">
        <v>0</v>
      </c>
      <c r="M11" s="3">
        <v>208</v>
      </c>
      <c r="N11" s="3">
        <v>7289</v>
      </c>
      <c r="O11" s="3">
        <v>0</v>
      </c>
      <c r="P11" s="3">
        <v>0</v>
      </c>
      <c r="Q11" s="3">
        <v>133</v>
      </c>
    </row>
    <row r="12" spans="1:17" x14ac:dyDescent="0.3">
      <c r="A12">
        <v>1974</v>
      </c>
      <c r="B12" s="3">
        <v>35319</v>
      </c>
      <c r="C12" s="3">
        <v>0</v>
      </c>
      <c r="D12" s="3">
        <v>0</v>
      </c>
      <c r="E12" s="3">
        <v>522</v>
      </c>
      <c r="F12" s="3">
        <v>0</v>
      </c>
      <c r="G12" s="3">
        <v>26382</v>
      </c>
      <c r="H12" s="3">
        <v>0</v>
      </c>
      <c r="I12" s="3">
        <v>0</v>
      </c>
      <c r="J12" s="3">
        <v>16660</v>
      </c>
      <c r="K12" s="3">
        <v>38317</v>
      </c>
      <c r="L12" s="3">
        <v>0</v>
      </c>
      <c r="M12" s="3">
        <v>0</v>
      </c>
      <c r="N12" s="3">
        <v>11720</v>
      </c>
      <c r="O12" s="3">
        <v>133</v>
      </c>
      <c r="P12" s="3">
        <v>0</v>
      </c>
      <c r="Q12" s="3">
        <v>0</v>
      </c>
    </row>
    <row r="13" spans="1:17" x14ac:dyDescent="0.3">
      <c r="A13">
        <v>1975</v>
      </c>
      <c r="B13" s="3">
        <v>10325</v>
      </c>
      <c r="C13" s="3">
        <v>0</v>
      </c>
      <c r="D13" s="3">
        <v>0</v>
      </c>
      <c r="E13" s="3">
        <v>0</v>
      </c>
      <c r="F13" s="3">
        <v>0</v>
      </c>
      <c r="G13" s="3">
        <v>1458</v>
      </c>
      <c r="H13" s="3">
        <v>208</v>
      </c>
      <c r="I13" s="3">
        <v>0</v>
      </c>
      <c r="J13" s="3">
        <v>6393</v>
      </c>
      <c r="K13" s="3">
        <v>14783</v>
      </c>
      <c r="L13" s="3">
        <v>0</v>
      </c>
      <c r="M13" s="3">
        <v>0</v>
      </c>
      <c r="N13" s="3">
        <v>8738</v>
      </c>
      <c r="O13" s="3">
        <v>485</v>
      </c>
      <c r="P13" s="3">
        <v>0</v>
      </c>
      <c r="Q13" s="3">
        <v>0</v>
      </c>
    </row>
    <row r="14" spans="1:17" x14ac:dyDescent="0.3">
      <c r="A14">
        <v>1976</v>
      </c>
      <c r="B14" s="3">
        <v>28567</v>
      </c>
      <c r="C14" s="3">
        <v>0</v>
      </c>
      <c r="D14" s="3">
        <v>0</v>
      </c>
      <c r="E14" s="3">
        <v>0</v>
      </c>
      <c r="F14" s="3">
        <v>133</v>
      </c>
      <c r="G14" s="3">
        <v>9722</v>
      </c>
      <c r="H14" s="3">
        <v>0</v>
      </c>
      <c r="I14" s="3">
        <v>0</v>
      </c>
      <c r="J14" s="3">
        <v>10438</v>
      </c>
      <c r="K14" s="3">
        <v>47090</v>
      </c>
      <c r="L14" s="3">
        <v>0</v>
      </c>
      <c r="M14" s="3">
        <v>0</v>
      </c>
      <c r="N14" s="3">
        <v>27139</v>
      </c>
      <c r="O14" s="3">
        <v>0</v>
      </c>
      <c r="P14" s="3">
        <v>0</v>
      </c>
      <c r="Q14" s="3">
        <v>0</v>
      </c>
    </row>
    <row r="15" spans="1:17" x14ac:dyDescent="0.3">
      <c r="A15">
        <v>1977</v>
      </c>
      <c r="B15" s="3">
        <v>26380</v>
      </c>
      <c r="C15" s="3">
        <v>0</v>
      </c>
      <c r="D15" s="3">
        <v>0</v>
      </c>
      <c r="E15" s="3">
        <v>0</v>
      </c>
      <c r="F15" s="3">
        <v>0</v>
      </c>
      <c r="G15" s="3">
        <v>32041</v>
      </c>
      <c r="H15" s="3">
        <v>243</v>
      </c>
      <c r="I15" s="3">
        <v>0</v>
      </c>
      <c r="J15" s="3">
        <v>48850</v>
      </c>
      <c r="K15" s="3">
        <v>94081</v>
      </c>
      <c r="L15" s="3">
        <v>0</v>
      </c>
      <c r="M15" s="3">
        <v>0</v>
      </c>
      <c r="N15" s="3">
        <v>35526</v>
      </c>
      <c r="O15" s="3">
        <v>634</v>
      </c>
      <c r="P15" s="3">
        <v>0</v>
      </c>
      <c r="Q15" s="3">
        <v>0</v>
      </c>
    </row>
    <row r="16" spans="1:17" x14ac:dyDescent="0.3">
      <c r="A16">
        <v>1978</v>
      </c>
      <c r="B16" s="3">
        <v>66157</v>
      </c>
      <c r="C16" s="3">
        <v>0</v>
      </c>
      <c r="D16" s="3">
        <v>243</v>
      </c>
      <c r="E16" s="3">
        <v>243</v>
      </c>
      <c r="F16" s="3">
        <v>1809</v>
      </c>
      <c r="G16" s="3">
        <v>28948</v>
      </c>
      <c r="H16" s="3">
        <v>0</v>
      </c>
      <c r="I16" s="3">
        <v>0</v>
      </c>
      <c r="J16" s="3">
        <v>32354</v>
      </c>
      <c r="K16" s="3">
        <v>70735</v>
      </c>
      <c r="L16" s="3">
        <v>0</v>
      </c>
      <c r="M16" s="3">
        <v>0</v>
      </c>
      <c r="N16" s="3">
        <v>19660</v>
      </c>
      <c r="O16" s="3">
        <v>0</v>
      </c>
      <c r="P16" s="3">
        <v>37</v>
      </c>
      <c r="Q16" s="3">
        <v>0</v>
      </c>
    </row>
    <row r="17" spans="1:17" x14ac:dyDescent="0.3">
      <c r="A17">
        <v>1979</v>
      </c>
      <c r="B17" s="3">
        <v>53115</v>
      </c>
      <c r="C17" s="3">
        <v>0</v>
      </c>
      <c r="D17" s="3">
        <v>0</v>
      </c>
      <c r="E17" s="3">
        <v>0</v>
      </c>
      <c r="F17" s="3">
        <v>0</v>
      </c>
      <c r="G17" s="3">
        <v>4124</v>
      </c>
      <c r="H17" s="3">
        <v>0</v>
      </c>
      <c r="I17" s="3">
        <v>0</v>
      </c>
      <c r="J17" s="3">
        <v>17554</v>
      </c>
      <c r="K17" s="3">
        <v>65300</v>
      </c>
      <c r="L17" s="3">
        <v>0</v>
      </c>
      <c r="M17" s="3">
        <v>46</v>
      </c>
      <c r="N17" s="3">
        <v>14870</v>
      </c>
      <c r="O17" s="3">
        <v>38</v>
      </c>
      <c r="P17" s="3">
        <v>142</v>
      </c>
      <c r="Q17" s="3">
        <v>0</v>
      </c>
    </row>
    <row r="18" spans="1:17" x14ac:dyDescent="0.3">
      <c r="A18">
        <v>1980</v>
      </c>
      <c r="B18" s="3">
        <v>37866</v>
      </c>
      <c r="C18" s="3">
        <v>0</v>
      </c>
      <c r="D18" s="3">
        <v>317</v>
      </c>
      <c r="E18" s="3">
        <v>0</v>
      </c>
      <c r="F18" s="3">
        <v>2341</v>
      </c>
      <c r="G18" s="3">
        <v>11937</v>
      </c>
      <c r="H18" s="3">
        <v>0</v>
      </c>
      <c r="I18" s="3">
        <v>0</v>
      </c>
      <c r="J18" s="3">
        <v>4000</v>
      </c>
      <c r="K18" s="3">
        <v>7165</v>
      </c>
      <c r="L18" s="3">
        <v>38</v>
      </c>
      <c r="M18" s="3">
        <v>0</v>
      </c>
      <c r="N18" s="3">
        <v>7259</v>
      </c>
      <c r="O18" s="3">
        <v>0</v>
      </c>
      <c r="P18" s="3">
        <v>25</v>
      </c>
      <c r="Q18" s="3">
        <v>0</v>
      </c>
    </row>
    <row r="19" spans="1:17" x14ac:dyDescent="0.3">
      <c r="A19">
        <v>1981</v>
      </c>
      <c r="B19" s="3">
        <v>77042</v>
      </c>
      <c r="C19" s="3">
        <v>0</v>
      </c>
      <c r="D19" s="3">
        <v>0</v>
      </c>
      <c r="E19" s="3">
        <v>0</v>
      </c>
      <c r="F19" s="3">
        <v>542</v>
      </c>
      <c r="G19" s="3">
        <v>2832</v>
      </c>
      <c r="H19" s="3">
        <v>1498</v>
      </c>
      <c r="I19" s="3">
        <v>0</v>
      </c>
      <c r="J19" s="3">
        <v>4370</v>
      </c>
      <c r="K19" s="3">
        <v>85872</v>
      </c>
      <c r="L19" s="3">
        <v>0</v>
      </c>
      <c r="M19" s="3">
        <v>43</v>
      </c>
      <c r="N19" s="3">
        <v>23861</v>
      </c>
      <c r="O19" s="3">
        <v>0</v>
      </c>
      <c r="P19" s="3">
        <v>0</v>
      </c>
      <c r="Q19" s="3">
        <v>0</v>
      </c>
    </row>
    <row r="20" spans="1:17" x14ac:dyDescent="0.3">
      <c r="A20">
        <v>1982</v>
      </c>
      <c r="B20" s="3">
        <v>170610</v>
      </c>
      <c r="C20" s="3">
        <v>0</v>
      </c>
      <c r="D20" s="3">
        <v>2472</v>
      </c>
      <c r="E20" s="3">
        <v>234</v>
      </c>
      <c r="F20" s="3">
        <v>1006</v>
      </c>
      <c r="G20" s="3">
        <v>113439</v>
      </c>
      <c r="H20" s="3">
        <v>781</v>
      </c>
      <c r="I20" s="3">
        <v>0</v>
      </c>
      <c r="J20" s="3">
        <v>75684</v>
      </c>
      <c r="K20" s="3">
        <v>37220</v>
      </c>
      <c r="L20" s="3">
        <v>0</v>
      </c>
      <c r="M20" s="3">
        <v>360.30040194626616</v>
      </c>
      <c r="N20" s="3">
        <v>18131.458641844722</v>
      </c>
      <c r="O20" s="3">
        <v>70.302517452929976</v>
      </c>
      <c r="P20" s="3">
        <v>0</v>
      </c>
      <c r="Q20" s="3">
        <v>0</v>
      </c>
    </row>
    <row r="21" spans="1:17" x14ac:dyDescent="0.3">
      <c r="A21">
        <v>1983</v>
      </c>
      <c r="B21" s="3">
        <v>115890</v>
      </c>
      <c r="C21" s="3">
        <v>0</v>
      </c>
      <c r="D21" s="3">
        <v>285</v>
      </c>
      <c r="E21" s="3">
        <v>1220</v>
      </c>
      <c r="F21" s="3">
        <v>1181</v>
      </c>
      <c r="G21" s="3">
        <v>5491</v>
      </c>
      <c r="H21" s="3">
        <v>1205</v>
      </c>
      <c r="I21" s="3">
        <v>0</v>
      </c>
      <c r="J21" s="3">
        <v>11395.598688385868</v>
      </c>
      <c r="K21" s="3">
        <v>87555.194626613069</v>
      </c>
      <c r="L21" s="3">
        <v>0</v>
      </c>
      <c r="M21" s="3">
        <v>0</v>
      </c>
      <c r="N21" s="3">
        <v>41723</v>
      </c>
      <c r="O21" s="3">
        <v>217</v>
      </c>
      <c r="P21" s="3">
        <v>0</v>
      </c>
      <c r="Q21" s="3">
        <v>0</v>
      </c>
    </row>
    <row r="22" spans="1:17" x14ac:dyDescent="0.3">
      <c r="A22">
        <v>1984</v>
      </c>
      <c r="B22" s="3">
        <v>96798</v>
      </c>
      <c r="C22" s="3">
        <v>0</v>
      </c>
      <c r="D22" s="3">
        <v>109</v>
      </c>
      <c r="E22" s="3">
        <v>0</v>
      </c>
      <c r="F22" s="3">
        <v>3442.6264015231645</v>
      </c>
      <c r="G22" s="3">
        <v>2117.8633382695152</v>
      </c>
      <c r="H22" s="3">
        <v>65.908610112121863</v>
      </c>
      <c r="I22" s="3">
        <v>0</v>
      </c>
      <c r="J22" s="3">
        <v>1792</v>
      </c>
      <c r="K22" s="3">
        <v>46879</v>
      </c>
      <c r="L22" s="3">
        <v>0</v>
      </c>
      <c r="M22" s="3">
        <v>0</v>
      </c>
      <c r="N22" s="3">
        <v>14103.475605413105</v>
      </c>
      <c r="O22" s="3">
        <v>113.05972222222222</v>
      </c>
      <c r="P22" s="3">
        <v>60</v>
      </c>
      <c r="Q22" s="3">
        <v>0</v>
      </c>
    </row>
    <row r="23" spans="1:17" x14ac:dyDescent="0.3">
      <c r="A23">
        <v>1985</v>
      </c>
      <c r="B23" s="3">
        <v>27408</v>
      </c>
      <c r="C23" s="3">
        <v>0</v>
      </c>
      <c r="D23" s="3">
        <v>1476.3528665115296</v>
      </c>
      <c r="E23" s="3">
        <v>4.3939073408081235</v>
      </c>
      <c r="F23" s="3">
        <v>2865</v>
      </c>
      <c r="G23" s="3">
        <v>2314</v>
      </c>
      <c r="H23" s="3">
        <v>22466</v>
      </c>
      <c r="I23" s="3">
        <v>0</v>
      </c>
      <c r="J23" s="3">
        <v>6714.0081196581195</v>
      </c>
      <c r="K23" s="3">
        <v>86948.724323361821</v>
      </c>
      <c r="L23" s="3">
        <v>0</v>
      </c>
      <c r="M23" s="3">
        <v>0</v>
      </c>
      <c r="N23" s="3">
        <v>42895</v>
      </c>
      <c r="O23" s="3">
        <v>633</v>
      </c>
      <c r="P23" s="3">
        <v>63.900623910966218</v>
      </c>
      <c r="Q23" s="3">
        <v>0</v>
      </c>
    </row>
    <row r="24" spans="1:17" x14ac:dyDescent="0.3">
      <c r="A24">
        <v>1986</v>
      </c>
      <c r="B24" s="3">
        <v>100812</v>
      </c>
      <c r="C24" s="3">
        <v>0</v>
      </c>
      <c r="D24" s="3">
        <v>35</v>
      </c>
      <c r="E24" s="3">
        <v>5680</v>
      </c>
      <c r="F24" s="3">
        <v>449.33992165242165</v>
      </c>
      <c r="G24" s="3">
        <v>51361.002528490026</v>
      </c>
      <c r="H24" s="3">
        <v>936.36641737891739</v>
      </c>
      <c r="I24" s="3">
        <v>0</v>
      </c>
      <c r="J24" s="3">
        <v>36048</v>
      </c>
      <c r="K24" s="3">
        <v>83179</v>
      </c>
      <c r="L24" s="3">
        <v>60</v>
      </c>
      <c r="M24" s="3">
        <v>18.257321117418922</v>
      </c>
      <c r="N24" s="3">
        <v>8247.7448147939976</v>
      </c>
      <c r="O24" s="3">
        <v>340.04260581192739</v>
      </c>
      <c r="P24" s="3">
        <v>408.0711772889909</v>
      </c>
      <c r="Q24" s="3">
        <v>0</v>
      </c>
    </row>
    <row r="25" spans="1:17" x14ac:dyDescent="0.3">
      <c r="A25">
        <v>1987</v>
      </c>
      <c r="B25" s="3">
        <v>74747</v>
      </c>
      <c r="C25" s="3">
        <v>0</v>
      </c>
      <c r="D25" s="3">
        <v>2133.6398860398858</v>
      </c>
      <c r="E25" s="3">
        <v>46.383475783475781</v>
      </c>
      <c r="F25" s="3">
        <v>1022</v>
      </c>
      <c r="G25" s="3">
        <v>2027</v>
      </c>
      <c r="H25" s="3">
        <v>3849</v>
      </c>
      <c r="I25" s="3">
        <v>0</v>
      </c>
      <c r="J25" s="3">
        <v>725.72851441740204</v>
      </c>
      <c r="K25" s="3">
        <v>30416.69698161992</v>
      </c>
      <c r="L25" s="3">
        <v>27</v>
      </c>
      <c r="M25" s="3">
        <v>0</v>
      </c>
      <c r="N25" s="3">
        <v>25242.317438940605</v>
      </c>
      <c r="O25" s="3">
        <v>778.88106887559979</v>
      </c>
      <c r="P25" s="3">
        <v>57</v>
      </c>
      <c r="Q25" s="3">
        <v>0</v>
      </c>
    </row>
    <row r="26" spans="1:17" x14ac:dyDescent="0.3">
      <c r="A26">
        <v>1988</v>
      </c>
      <c r="B26" s="3">
        <v>56724</v>
      </c>
      <c r="C26" s="3">
        <v>0</v>
      </c>
      <c r="D26" s="3">
        <v>17</v>
      </c>
      <c r="E26" s="3">
        <v>0</v>
      </c>
      <c r="F26" s="3">
        <v>70.747119329998313</v>
      </c>
      <c r="G26" s="3">
        <v>82.157945028385143</v>
      </c>
      <c r="H26" s="3">
        <v>852</v>
      </c>
      <c r="I26" s="3">
        <v>0</v>
      </c>
      <c r="J26" s="3">
        <v>1606.5423693024366</v>
      </c>
      <c r="K26" s="3">
        <v>35639.798775777293</v>
      </c>
      <c r="L26" s="3">
        <v>209.98330000000001</v>
      </c>
      <c r="M26" s="3">
        <v>206</v>
      </c>
      <c r="N26" s="3">
        <v>7282</v>
      </c>
      <c r="O26" s="3">
        <v>1072</v>
      </c>
      <c r="P26" s="3">
        <v>0</v>
      </c>
      <c r="Q26" s="3">
        <v>0</v>
      </c>
    </row>
    <row r="27" spans="1:17" x14ac:dyDescent="0.3">
      <c r="A27">
        <v>1989</v>
      </c>
      <c r="B27" s="3">
        <v>64582</v>
      </c>
      <c r="C27" s="3">
        <v>0</v>
      </c>
      <c r="D27" s="3">
        <v>449.58653251644091</v>
      </c>
      <c r="E27" s="3">
        <v>404</v>
      </c>
      <c r="F27" s="3">
        <v>5822.7770442227838</v>
      </c>
      <c r="G27" s="3">
        <v>8751.2937379876912</v>
      </c>
      <c r="H27" s="3">
        <v>6312.9867240000003</v>
      </c>
      <c r="I27" s="3">
        <v>0</v>
      </c>
      <c r="J27" s="3">
        <v>5539</v>
      </c>
      <c r="K27" s="3">
        <v>67810</v>
      </c>
      <c r="L27" s="3">
        <v>0</v>
      </c>
      <c r="M27" s="3">
        <v>0</v>
      </c>
      <c r="N27" s="3">
        <v>34127</v>
      </c>
      <c r="O27" s="3">
        <v>0</v>
      </c>
      <c r="P27" s="3">
        <v>0</v>
      </c>
      <c r="Q27" s="3">
        <v>0</v>
      </c>
    </row>
    <row r="28" spans="1:17" x14ac:dyDescent="0.3">
      <c r="A28">
        <v>1990</v>
      </c>
      <c r="B28" s="3">
        <v>56159</v>
      </c>
      <c r="C28" s="3">
        <v>0</v>
      </c>
      <c r="D28" s="3">
        <v>1497.3627956045964</v>
      </c>
      <c r="E28" s="3">
        <v>577.98556800000006</v>
      </c>
      <c r="F28" s="3">
        <v>0</v>
      </c>
      <c r="G28" s="3">
        <v>6275</v>
      </c>
      <c r="H28" s="3">
        <v>3414</v>
      </c>
      <c r="I28" s="3">
        <v>0</v>
      </c>
      <c r="J28" s="3">
        <v>19145</v>
      </c>
      <c r="K28" s="3">
        <v>82269</v>
      </c>
      <c r="L28" s="3">
        <v>0</v>
      </c>
      <c r="M28" s="3">
        <v>0</v>
      </c>
      <c r="N28" s="3">
        <v>6839</v>
      </c>
      <c r="O28" s="3">
        <v>361</v>
      </c>
      <c r="P28" s="3">
        <v>6</v>
      </c>
      <c r="Q28" s="3">
        <v>0</v>
      </c>
    </row>
    <row r="29" spans="1:17" x14ac:dyDescent="0.3">
      <c r="A29">
        <v>1991</v>
      </c>
      <c r="B29" s="3">
        <v>50026</v>
      </c>
      <c r="C29" s="3">
        <v>0</v>
      </c>
      <c r="D29" s="3">
        <v>407</v>
      </c>
      <c r="E29" s="3">
        <v>3258</v>
      </c>
      <c r="F29" s="3">
        <v>20467</v>
      </c>
      <c r="G29" s="3">
        <v>46391</v>
      </c>
      <c r="H29" s="3">
        <v>6815</v>
      </c>
      <c r="I29" s="3">
        <v>0</v>
      </c>
      <c r="J29" s="3">
        <v>57478</v>
      </c>
      <c r="K29" s="3">
        <v>131931</v>
      </c>
      <c r="L29" s="3">
        <v>0</v>
      </c>
      <c r="M29" s="3">
        <v>0</v>
      </c>
      <c r="N29" s="3">
        <v>27274</v>
      </c>
      <c r="O29" s="3">
        <v>0</v>
      </c>
      <c r="P29" s="3">
        <v>0</v>
      </c>
      <c r="Q29" s="3">
        <v>0</v>
      </c>
    </row>
    <row r="30" spans="1:17" x14ac:dyDescent="0.3">
      <c r="A30">
        <v>1992</v>
      </c>
      <c r="B30" s="3">
        <v>19076</v>
      </c>
      <c r="C30" s="3">
        <v>52</v>
      </c>
      <c r="D30" s="3">
        <v>2338</v>
      </c>
      <c r="E30" s="3">
        <v>223</v>
      </c>
      <c r="F30" s="3">
        <v>5878</v>
      </c>
      <c r="G30" s="3">
        <v>5959</v>
      </c>
      <c r="H30" s="3">
        <v>3583</v>
      </c>
      <c r="I30" s="3">
        <v>0</v>
      </c>
      <c r="J30" s="3">
        <v>3435</v>
      </c>
      <c r="K30" s="3">
        <v>24099</v>
      </c>
      <c r="L30" s="3">
        <v>0</v>
      </c>
      <c r="M30" s="3">
        <v>0</v>
      </c>
      <c r="N30" s="3">
        <v>7268</v>
      </c>
      <c r="O30" s="3">
        <v>0</v>
      </c>
      <c r="P30" s="3">
        <v>0</v>
      </c>
      <c r="Q30" s="3">
        <v>0</v>
      </c>
    </row>
    <row r="31" spans="1:17" x14ac:dyDescent="0.3">
      <c r="A31">
        <v>1993</v>
      </c>
      <c r="B31" s="3">
        <v>34852</v>
      </c>
      <c r="C31" s="3">
        <v>219</v>
      </c>
      <c r="D31" s="3">
        <v>669</v>
      </c>
      <c r="E31" s="3">
        <v>605</v>
      </c>
      <c r="F31" s="3">
        <v>2423</v>
      </c>
      <c r="G31" s="3">
        <v>5189</v>
      </c>
      <c r="H31" s="3">
        <v>2741</v>
      </c>
      <c r="I31" s="3">
        <v>0</v>
      </c>
      <c r="J31" s="3">
        <v>11812</v>
      </c>
      <c r="K31" s="3">
        <v>31749</v>
      </c>
      <c r="L31" s="3">
        <v>0</v>
      </c>
      <c r="M31" s="3">
        <v>0</v>
      </c>
      <c r="N31" s="3">
        <v>5168</v>
      </c>
      <c r="O31" s="3">
        <v>1229</v>
      </c>
      <c r="P31" s="3">
        <v>0</v>
      </c>
      <c r="Q31" s="3">
        <v>62</v>
      </c>
    </row>
    <row r="32" spans="1:17" x14ac:dyDescent="0.3">
      <c r="A32">
        <v>1994</v>
      </c>
      <c r="B32" s="3">
        <v>37645</v>
      </c>
      <c r="C32" s="3">
        <v>0</v>
      </c>
      <c r="D32" s="3">
        <v>229</v>
      </c>
      <c r="E32" s="3">
        <v>994</v>
      </c>
      <c r="F32" s="3">
        <v>4887</v>
      </c>
      <c r="G32" s="3">
        <v>53607</v>
      </c>
      <c r="H32" s="3">
        <v>1320</v>
      </c>
      <c r="I32" s="3">
        <v>0</v>
      </c>
      <c r="J32" s="3">
        <v>7176</v>
      </c>
      <c r="K32" s="3">
        <v>33104</v>
      </c>
      <c r="L32" s="3">
        <v>0</v>
      </c>
      <c r="M32" s="3">
        <v>0</v>
      </c>
      <c r="N32" s="3">
        <v>17361</v>
      </c>
      <c r="O32" s="3">
        <v>570</v>
      </c>
      <c r="P32" s="3">
        <v>0</v>
      </c>
      <c r="Q32" s="3">
        <v>0</v>
      </c>
    </row>
    <row r="33" spans="1:17" x14ac:dyDescent="0.3">
      <c r="A33">
        <v>1995</v>
      </c>
      <c r="B33" s="3">
        <v>41492</v>
      </c>
      <c r="C33" s="3">
        <v>0</v>
      </c>
      <c r="D33" s="3">
        <v>185</v>
      </c>
      <c r="E33" s="3">
        <v>2467</v>
      </c>
      <c r="F33" s="3">
        <v>5857</v>
      </c>
      <c r="G33" s="3">
        <v>33691</v>
      </c>
      <c r="H33" s="3">
        <v>1497</v>
      </c>
      <c r="I33" s="3">
        <v>360</v>
      </c>
      <c r="J33" s="3">
        <v>44415</v>
      </c>
      <c r="K33" s="3">
        <v>44608</v>
      </c>
      <c r="L33" s="3">
        <v>0</v>
      </c>
      <c r="M33" s="3">
        <v>492</v>
      </c>
      <c r="N33" s="3">
        <v>20938</v>
      </c>
      <c r="O33" s="3">
        <v>689</v>
      </c>
      <c r="P33" s="3">
        <v>92</v>
      </c>
      <c r="Q33" s="3">
        <v>0</v>
      </c>
    </row>
    <row r="34" spans="1:17" x14ac:dyDescent="0.3">
      <c r="A34">
        <v>1996</v>
      </c>
      <c r="B34" s="3">
        <v>58686</v>
      </c>
      <c r="C34" s="3">
        <v>0</v>
      </c>
      <c r="D34" s="3">
        <v>79</v>
      </c>
      <c r="E34" s="3">
        <v>177</v>
      </c>
      <c r="F34" s="3">
        <v>2723</v>
      </c>
      <c r="G34" s="3">
        <v>30487</v>
      </c>
      <c r="H34" s="3">
        <v>1973</v>
      </c>
      <c r="I34" s="3">
        <v>0</v>
      </c>
      <c r="J34" s="3">
        <v>81164</v>
      </c>
      <c r="K34" s="3">
        <v>51987</v>
      </c>
      <c r="L34" s="3">
        <v>4</v>
      </c>
      <c r="M34" s="3">
        <v>25</v>
      </c>
      <c r="N34" s="3">
        <v>15238</v>
      </c>
      <c r="O34" s="3">
        <v>281</v>
      </c>
      <c r="P34" s="3">
        <v>0</v>
      </c>
      <c r="Q34" s="3">
        <v>0</v>
      </c>
    </row>
    <row r="35" spans="1:17" x14ac:dyDescent="0.3">
      <c r="A35">
        <v>1997</v>
      </c>
      <c r="B35" s="3">
        <v>47655</v>
      </c>
      <c r="C35" s="3">
        <v>0</v>
      </c>
      <c r="D35" s="3">
        <v>422</v>
      </c>
      <c r="E35" s="3">
        <v>45</v>
      </c>
      <c r="F35" s="3">
        <v>0</v>
      </c>
      <c r="G35" s="3">
        <v>972</v>
      </c>
      <c r="H35" s="3">
        <v>2438</v>
      </c>
      <c r="I35" s="3">
        <v>0</v>
      </c>
      <c r="J35" s="3">
        <v>558</v>
      </c>
      <c r="K35" s="3">
        <v>11566</v>
      </c>
      <c r="L35" s="3">
        <v>34</v>
      </c>
      <c r="M35" s="3">
        <v>0</v>
      </c>
      <c r="N35" s="3">
        <v>7233</v>
      </c>
      <c r="O35" s="3">
        <v>795</v>
      </c>
      <c r="P35" s="3">
        <v>2006</v>
      </c>
      <c r="Q35" s="3">
        <v>0</v>
      </c>
    </row>
    <row r="36" spans="1:17" x14ac:dyDescent="0.3">
      <c r="A36">
        <v>1998</v>
      </c>
      <c r="B36" s="3">
        <v>30713</v>
      </c>
      <c r="C36" s="3">
        <v>0</v>
      </c>
      <c r="D36" s="3">
        <v>0</v>
      </c>
      <c r="E36" s="3">
        <v>6</v>
      </c>
      <c r="F36" s="3">
        <v>0</v>
      </c>
      <c r="G36" s="3">
        <v>145</v>
      </c>
      <c r="H36" s="3">
        <v>6264</v>
      </c>
      <c r="I36" s="3">
        <v>0</v>
      </c>
      <c r="J36" s="3">
        <v>418</v>
      </c>
      <c r="K36" s="3">
        <v>45950</v>
      </c>
      <c r="L36" s="3">
        <v>0</v>
      </c>
      <c r="M36" s="3">
        <v>0</v>
      </c>
      <c r="N36" s="3">
        <v>16490</v>
      </c>
      <c r="O36" s="3">
        <v>8</v>
      </c>
      <c r="P36" s="3">
        <v>0</v>
      </c>
      <c r="Q36" s="3">
        <v>0</v>
      </c>
    </row>
    <row r="37" spans="1:17" x14ac:dyDescent="0.3">
      <c r="A37">
        <v>1999</v>
      </c>
      <c r="B37" s="3">
        <v>36521</v>
      </c>
      <c r="C37" s="3">
        <v>0</v>
      </c>
      <c r="D37" s="3">
        <v>0</v>
      </c>
      <c r="E37" s="3">
        <v>2598</v>
      </c>
      <c r="F37" s="3">
        <v>328</v>
      </c>
      <c r="G37" s="3">
        <v>27894</v>
      </c>
      <c r="H37" s="3">
        <v>6080</v>
      </c>
      <c r="I37" s="3">
        <v>0</v>
      </c>
      <c r="J37" s="3">
        <v>34497</v>
      </c>
      <c r="K37" s="3">
        <v>81382</v>
      </c>
      <c r="L37" s="3">
        <v>0</v>
      </c>
      <c r="M37" s="3">
        <v>360.25471500000003</v>
      </c>
      <c r="N37" s="3">
        <v>38405.147264760097</v>
      </c>
      <c r="O37" s="3">
        <v>625.64932167346092</v>
      </c>
      <c r="P37" s="3">
        <v>28.0959</v>
      </c>
      <c r="Q37" s="3">
        <v>0</v>
      </c>
    </row>
    <row r="38" spans="1:17" x14ac:dyDescent="0.3">
      <c r="A38">
        <v>2000</v>
      </c>
      <c r="B38" s="3">
        <v>55761</v>
      </c>
      <c r="C38" s="3">
        <v>0</v>
      </c>
      <c r="D38" s="3">
        <v>780</v>
      </c>
      <c r="E38" s="3">
        <v>10912</v>
      </c>
      <c r="F38" s="3">
        <v>7338</v>
      </c>
      <c r="G38" s="3">
        <v>122434</v>
      </c>
      <c r="H38" s="3">
        <v>2623</v>
      </c>
      <c r="I38" s="3">
        <v>69.459994999999992</v>
      </c>
      <c r="J38" s="3">
        <v>59315.424872450327</v>
      </c>
      <c r="K38" s="3">
        <v>40861.84201064951</v>
      </c>
      <c r="L38" s="3">
        <v>69.418000000000006</v>
      </c>
      <c r="M38" s="3">
        <v>120.86821821458142</v>
      </c>
      <c r="N38" s="3">
        <v>9842.5472560092603</v>
      </c>
      <c r="O38" s="3">
        <v>138.78949265023388</v>
      </c>
      <c r="P38" s="3">
        <v>234.51736552603512</v>
      </c>
      <c r="Q38" s="3">
        <v>27.996825640213686</v>
      </c>
    </row>
    <row r="39" spans="1:17" x14ac:dyDescent="0.3">
      <c r="A39">
        <v>2001</v>
      </c>
      <c r="B39" s="3">
        <v>66795</v>
      </c>
      <c r="C39" s="3">
        <v>0</v>
      </c>
      <c r="D39" s="3">
        <v>1131</v>
      </c>
      <c r="E39" s="3">
        <v>1123</v>
      </c>
      <c r="F39" s="3">
        <v>3856.4384300000002</v>
      </c>
      <c r="G39" s="3">
        <v>6472.361556351465</v>
      </c>
      <c r="H39" s="3">
        <v>5116.4687123872463</v>
      </c>
      <c r="I39" s="3">
        <v>0</v>
      </c>
      <c r="J39" s="3">
        <v>4335.3595153201968</v>
      </c>
      <c r="K39" s="3">
        <v>15475.32243</v>
      </c>
      <c r="L39" s="3">
        <v>0</v>
      </c>
      <c r="M39" s="3">
        <v>24.03672345121381</v>
      </c>
      <c r="N39" s="3">
        <v>13763.69840662846</v>
      </c>
      <c r="O39" s="3">
        <v>0</v>
      </c>
      <c r="P39" s="3">
        <v>0</v>
      </c>
      <c r="Q39" s="3">
        <v>0</v>
      </c>
    </row>
    <row r="40" spans="1:17" x14ac:dyDescent="0.3">
      <c r="A40">
        <v>2002</v>
      </c>
      <c r="B40" s="3">
        <v>36802</v>
      </c>
      <c r="C40" s="3">
        <v>82</v>
      </c>
      <c r="D40" s="3">
        <v>531.58631500000001</v>
      </c>
      <c r="E40" s="3">
        <v>381.75046068053734</v>
      </c>
      <c r="F40" s="3">
        <v>573.82108000000005</v>
      </c>
      <c r="G40" s="3">
        <v>1294.9175734833236</v>
      </c>
      <c r="H40" s="3">
        <v>42.441800000000001</v>
      </c>
      <c r="I40" s="3">
        <v>35.734914999999994</v>
      </c>
      <c r="J40" s="3">
        <v>4890.4310052960782</v>
      </c>
      <c r="K40" s="3">
        <v>2815.3640378879895</v>
      </c>
      <c r="L40" s="3">
        <v>0</v>
      </c>
      <c r="M40" s="3">
        <v>0</v>
      </c>
      <c r="N40" s="3">
        <v>8604.2038005314771</v>
      </c>
      <c r="O40" s="3">
        <v>0</v>
      </c>
      <c r="P40" s="3">
        <v>0</v>
      </c>
      <c r="Q40" s="3">
        <v>36.319767440200572</v>
      </c>
    </row>
    <row r="41" spans="1:17" x14ac:dyDescent="0.3">
      <c r="A41">
        <v>2003</v>
      </c>
      <c r="B41" s="3">
        <v>76175</v>
      </c>
      <c r="C41" s="3">
        <v>0</v>
      </c>
      <c r="D41" s="3">
        <v>74.725234999999998</v>
      </c>
      <c r="E41" s="3">
        <v>502.22489999999999</v>
      </c>
      <c r="F41" s="3">
        <v>87.763374999999996</v>
      </c>
      <c r="G41" s="3">
        <v>10903.193064850775</v>
      </c>
      <c r="H41" s="3">
        <v>3244.7659486254429</v>
      </c>
      <c r="I41" s="3">
        <v>0</v>
      </c>
      <c r="J41" s="3">
        <v>9333.5457288679045</v>
      </c>
      <c r="K41" s="3">
        <v>34250.198756517049</v>
      </c>
      <c r="L41" s="3">
        <v>0</v>
      </c>
      <c r="M41" s="3">
        <v>106.0313</v>
      </c>
      <c r="N41" s="3">
        <v>13257.909212293807</v>
      </c>
      <c r="O41" s="3">
        <v>86.012699999999995</v>
      </c>
      <c r="P41" s="3">
        <v>0</v>
      </c>
      <c r="Q41" s="3">
        <v>0</v>
      </c>
    </row>
    <row r="42" spans="1:17" x14ac:dyDescent="0.3">
      <c r="A42">
        <v>2004</v>
      </c>
      <c r="B42" s="3">
        <v>78487</v>
      </c>
      <c r="C42" s="3">
        <v>0</v>
      </c>
      <c r="D42" s="3">
        <v>191.00556</v>
      </c>
      <c r="E42" s="3">
        <v>1553.3239059921993</v>
      </c>
      <c r="F42" s="3">
        <v>6398.4068163032834</v>
      </c>
      <c r="G42" s="3">
        <v>36836.487720878518</v>
      </c>
      <c r="H42" s="3">
        <v>3258.0580767958195</v>
      </c>
      <c r="I42" s="3">
        <v>0</v>
      </c>
      <c r="J42" s="3">
        <v>25749.666293717146</v>
      </c>
      <c r="K42" s="3">
        <v>32372.140554396574</v>
      </c>
      <c r="L42" s="3">
        <v>0</v>
      </c>
      <c r="M42" s="3">
        <v>0</v>
      </c>
      <c r="N42" s="3">
        <v>4210.9712674844723</v>
      </c>
      <c r="O42" s="3">
        <v>0</v>
      </c>
      <c r="P42" s="3">
        <v>0</v>
      </c>
      <c r="Q42" s="3">
        <v>0</v>
      </c>
    </row>
    <row r="43" spans="1:17" x14ac:dyDescent="0.3">
      <c r="A43">
        <v>2005</v>
      </c>
      <c r="B43" s="3">
        <v>60349</v>
      </c>
      <c r="C43" s="3">
        <v>0</v>
      </c>
      <c r="D43" s="3">
        <v>233.22973499999995</v>
      </c>
      <c r="E43" s="3">
        <v>281.41565190089648</v>
      </c>
      <c r="F43" s="3">
        <v>0</v>
      </c>
      <c r="G43" s="3">
        <v>5884.4398554113486</v>
      </c>
      <c r="H43" s="3">
        <v>3446.3044123407099</v>
      </c>
      <c r="I43" s="3">
        <v>0</v>
      </c>
      <c r="J43" s="3">
        <v>3903.9806800577271</v>
      </c>
      <c r="K43" s="3">
        <v>42706.438294444255</v>
      </c>
      <c r="L43" s="3">
        <v>63.532762083465855</v>
      </c>
      <c r="M43" s="3">
        <v>0</v>
      </c>
      <c r="N43" s="3">
        <v>9732.9411004482408</v>
      </c>
      <c r="O43" s="3">
        <v>130.01190308350061</v>
      </c>
      <c r="P43" s="3">
        <v>0</v>
      </c>
      <c r="Q43" s="3">
        <v>2.4519345261446959</v>
      </c>
    </row>
    <row r="44" spans="1:17" x14ac:dyDescent="0.3">
      <c r="A44">
        <v>2006</v>
      </c>
      <c r="B44" s="3">
        <v>24997</v>
      </c>
      <c r="C44" s="3">
        <v>0</v>
      </c>
      <c r="D44" s="3">
        <v>0</v>
      </c>
      <c r="E44" s="3">
        <v>269.47739999999999</v>
      </c>
      <c r="F44" s="3">
        <v>0</v>
      </c>
      <c r="G44" s="3">
        <v>1815.056564332813</v>
      </c>
      <c r="H44" s="3">
        <v>2366.533301406469</v>
      </c>
      <c r="I44" s="3">
        <v>0</v>
      </c>
      <c r="J44" s="3">
        <v>4512.8213940055657</v>
      </c>
      <c r="K44" s="3">
        <v>24439.271321133598</v>
      </c>
      <c r="L44" s="3">
        <v>4.7634228886551604</v>
      </c>
      <c r="M44" s="3">
        <v>28.142948609827165</v>
      </c>
      <c r="N44" s="3">
        <v>14942.601337863274</v>
      </c>
      <c r="O44" s="3">
        <v>619.90525611136331</v>
      </c>
      <c r="P44" s="3">
        <v>0</v>
      </c>
      <c r="Q44" s="3">
        <v>3.6031768456039925</v>
      </c>
    </row>
    <row r="45" spans="1:17" x14ac:dyDescent="0.3">
      <c r="A45">
        <v>2007</v>
      </c>
      <c r="B45" s="3">
        <v>31895</v>
      </c>
      <c r="C45" s="3">
        <v>0</v>
      </c>
      <c r="D45" s="3">
        <v>71.446384323479649</v>
      </c>
      <c r="E45" s="3">
        <v>26.489951177417204</v>
      </c>
      <c r="F45" s="3">
        <v>135.97592330830139</v>
      </c>
      <c r="G45" s="3">
        <v>3578.4311657495259</v>
      </c>
      <c r="H45" s="3">
        <v>4849.3460406152963</v>
      </c>
      <c r="I45" s="3">
        <v>0</v>
      </c>
      <c r="J45" s="3">
        <v>3111.7328447892651</v>
      </c>
      <c r="K45" s="3">
        <v>28722.954572863855</v>
      </c>
      <c r="L45" s="3">
        <v>0</v>
      </c>
      <c r="M45" s="3">
        <v>15.990454757046791</v>
      </c>
      <c r="N45" s="3">
        <v>16845.21142402371</v>
      </c>
      <c r="O45" s="3">
        <v>0</v>
      </c>
      <c r="P45" s="3">
        <v>0</v>
      </c>
      <c r="Q45" s="3">
        <v>0</v>
      </c>
    </row>
    <row r="46" spans="1:17" x14ac:dyDescent="0.3">
      <c r="A46">
        <v>2008</v>
      </c>
      <c r="B46" s="3">
        <v>38800</v>
      </c>
      <c r="C46" s="3">
        <v>0</v>
      </c>
      <c r="D46" s="3">
        <v>0</v>
      </c>
      <c r="E46" s="3">
        <v>977.88806636730112</v>
      </c>
      <c r="F46" s="3">
        <v>52.339025490646854</v>
      </c>
      <c r="G46" s="3">
        <v>10316.738878830958</v>
      </c>
      <c r="H46" s="3">
        <v>2056.0005356957313</v>
      </c>
      <c r="I46" s="3">
        <v>0</v>
      </c>
      <c r="J46" s="3">
        <v>10744.411482277445</v>
      </c>
      <c r="K46" s="3">
        <v>21686.33473391955</v>
      </c>
      <c r="L46" s="3">
        <v>5.1430069065631301</v>
      </c>
      <c r="M46" s="3">
        <v>0</v>
      </c>
      <c r="N46" s="3">
        <v>2534.3926558895405</v>
      </c>
      <c r="O46" s="3">
        <v>0</v>
      </c>
      <c r="P46" s="3">
        <v>0</v>
      </c>
      <c r="Q46" s="3">
        <v>0</v>
      </c>
    </row>
    <row r="47" spans="1:17" x14ac:dyDescent="0.3">
      <c r="A47">
        <v>2009</v>
      </c>
      <c r="B47" s="3">
        <v>34585</v>
      </c>
      <c r="C47" s="3">
        <v>0</v>
      </c>
      <c r="D47" s="3">
        <v>108.14762723824667</v>
      </c>
      <c r="E47" s="3">
        <v>225.8361600606699</v>
      </c>
      <c r="F47" s="3">
        <v>2346.2359218904257</v>
      </c>
      <c r="G47" s="3">
        <v>2774.2005551111261</v>
      </c>
      <c r="H47" s="3">
        <v>2781.6281885193421</v>
      </c>
      <c r="I47" s="3">
        <v>0</v>
      </c>
      <c r="J47" s="3">
        <v>2354.0396085027428</v>
      </c>
      <c r="K47" s="3">
        <v>30937.992419990987</v>
      </c>
      <c r="L47" s="3">
        <v>4.3963999999999999</v>
      </c>
      <c r="M47" s="3">
        <v>0</v>
      </c>
      <c r="N47" s="3">
        <v>7963</v>
      </c>
      <c r="O47" s="3">
        <v>0</v>
      </c>
      <c r="P47" s="3">
        <v>0</v>
      </c>
      <c r="Q47" s="3">
        <v>0</v>
      </c>
    </row>
    <row r="48" spans="1:17" x14ac:dyDescent="0.3">
      <c r="A48">
        <v>2010</v>
      </c>
      <c r="B48" s="3">
        <v>42060</v>
      </c>
      <c r="C48" s="3">
        <v>0</v>
      </c>
      <c r="D48" s="3">
        <v>7.9224283745582672E-2</v>
      </c>
      <c r="E48" s="3">
        <v>228.11198474478667</v>
      </c>
      <c r="F48" s="3">
        <v>0</v>
      </c>
      <c r="G48" s="3">
        <v>1784.0976497178162</v>
      </c>
      <c r="H48" s="3">
        <v>6734.8284039102427</v>
      </c>
      <c r="I48" s="3">
        <v>0</v>
      </c>
      <c r="J48" s="3">
        <v>2353</v>
      </c>
      <c r="K48" s="3">
        <v>45458</v>
      </c>
      <c r="L48" s="3">
        <v>89</v>
      </c>
      <c r="M48" s="3">
        <v>0</v>
      </c>
      <c r="N48" s="3">
        <v>5892.3763087835559</v>
      </c>
      <c r="O48" s="3">
        <v>75.809100000000001</v>
      </c>
      <c r="P48" s="3">
        <v>0</v>
      </c>
      <c r="Q48" s="3">
        <v>0</v>
      </c>
    </row>
    <row r="49" spans="1:17" x14ac:dyDescent="0.3">
      <c r="A49">
        <v>2011</v>
      </c>
      <c r="B49" s="3">
        <v>28759</v>
      </c>
      <c r="C49" s="3">
        <v>0</v>
      </c>
      <c r="D49" s="3">
        <v>80.426959999999994</v>
      </c>
      <c r="E49" s="3">
        <v>131.60489999999999</v>
      </c>
      <c r="F49" s="3">
        <v>0</v>
      </c>
      <c r="G49" s="3">
        <v>1376</v>
      </c>
      <c r="H49" s="3">
        <v>7241</v>
      </c>
      <c r="I49" s="3">
        <v>0</v>
      </c>
      <c r="J49" s="3">
        <v>695.91728365618576</v>
      </c>
      <c r="K49" s="3">
        <v>27849.875011064949</v>
      </c>
      <c r="L49" s="3">
        <v>25.732800000000001</v>
      </c>
      <c r="M49" s="3">
        <v>0</v>
      </c>
      <c r="N49" s="3">
        <v>17098.58345511472</v>
      </c>
      <c r="O49" s="3">
        <v>0</v>
      </c>
      <c r="P49" s="3">
        <v>0</v>
      </c>
      <c r="Q49" s="3">
        <v>0</v>
      </c>
    </row>
    <row r="50" spans="1:17" x14ac:dyDescent="0.3">
      <c r="A50">
        <v>2012</v>
      </c>
      <c r="B50" s="3">
        <v>25487</v>
      </c>
      <c r="C50" s="3">
        <v>0</v>
      </c>
      <c r="D50" s="3">
        <v>0</v>
      </c>
      <c r="E50" s="3">
        <v>1625</v>
      </c>
      <c r="F50" s="3">
        <v>437.8673</v>
      </c>
      <c r="G50" s="3">
        <v>15566.876700000001</v>
      </c>
      <c r="H50" s="3">
        <v>4505.3849099958934</v>
      </c>
      <c r="I50" s="3">
        <v>0</v>
      </c>
      <c r="J50" s="3">
        <v>14539.767860361942</v>
      </c>
      <c r="K50" s="3">
        <v>32314.214966192776</v>
      </c>
      <c r="L50" s="3">
        <v>0</v>
      </c>
      <c r="M50" s="3">
        <v>0</v>
      </c>
      <c r="N50" s="3">
        <v>2680.7813199186953</v>
      </c>
      <c r="O50" s="3">
        <v>0</v>
      </c>
      <c r="P50" s="3">
        <v>0</v>
      </c>
      <c r="Q50" s="3">
        <v>0</v>
      </c>
    </row>
    <row r="51" spans="1:17" x14ac:dyDescent="0.3">
      <c r="A51">
        <v>2013</v>
      </c>
      <c r="B51" s="3">
        <v>27712</v>
      </c>
      <c r="C51" s="3">
        <v>0</v>
      </c>
      <c r="D51" s="3">
        <v>319.26369999999997</v>
      </c>
      <c r="E51" s="3">
        <v>7144.1194675376655</v>
      </c>
      <c r="F51" s="3">
        <v>1016.2991743138582</v>
      </c>
      <c r="G51" s="3">
        <v>31462.223471793481</v>
      </c>
      <c r="H51" s="3">
        <v>2862.0924172135133</v>
      </c>
      <c r="I51" s="3">
        <v>0</v>
      </c>
      <c r="J51" s="3">
        <v>8118.088346296835</v>
      </c>
      <c r="K51" s="3">
        <v>28517.462603606022</v>
      </c>
      <c r="L51" s="3">
        <v>0</v>
      </c>
      <c r="M51" s="3">
        <v>0</v>
      </c>
      <c r="N51" s="3">
        <v>4704.0401757383943</v>
      </c>
      <c r="O51" s="3">
        <v>99.318435919558169</v>
      </c>
      <c r="P51" s="3">
        <v>0</v>
      </c>
      <c r="Q51" s="3">
        <v>0</v>
      </c>
    </row>
    <row r="52" spans="1:17" x14ac:dyDescent="0.3">
      <c r="A52">
        <v>2014</v>
      </c>
      <c r="B52" s="3">
        <v>36823</v>
      </c>
      <c r="C52" s="3">
        <v>0</v>
      </c>
      <c r="D52" s="3">
        <v>98.249252570380165</v>
      </c>
      <c r="E52" s="3">
        <v>3480.6521714776377</v>
      </c>
      <c r="F52" s="3">
        <v>0</v>
      </c>
      <c r="G52" s="3">
        <v>26729.416803545377</v>
      </c>
      <c r="H52" s="3">
        <v>1368.2357507357929</v>
      </c>
      <c r="I52" s="3">
        <v>0</v>
      </c>
      <c r="J52" s="3">
        <v>8903.7239807680417</v>
      </c>
      <c r="K52" s="3">
        <v>16939.846183168367</v>
      </c>
      <c r="L52" s="3">
        <v>0</v>
      </c>
      <c r="M52" s="3">
        <v>35.909976272148363</v>
      </c>
      <c r="N52" s="3">
        <v>1325.4891781538483</v>
      </c>
      <c r="O52" s="3">
        <v>123.42799907134217</v>
      </c>
      <c r="P52" s="3">
        <v>0</v>
      </c>
      <c r="Q52" s="3">
        <v>0</v>
      </c>
    </row>
    <row r="53" spans="1:17" x14ac:dyDescent="0.3">
      <c r="A53">
        <v>2015</v>
      </c>
      <c r="B53" s="3">
        <v>54473</v>
      </c>
      <c r="C53" s="3">
        <v>0</v>
      </c>
      <c r="D53" s="3">
        <v>148.40650224046155</v>
      </c>
      <c r="E53" s="3">
        <v>3289.030004528779</v>
      </c>
      <c r="F53" s="3">
        <v>0</v>
      </c>
      <c r="G53" s="3">
        <v>18840.422276453155</v>
      </c>
      <c r="H53" s="3">
        <v>2581.8704902360569</v>
      </c>
      <c r="I53" s="3">
        <v>0</v>
      </c>
      <c r="J53" s="3">
        <v>7219.89372683887</v>
      </c>
      <c r="K53" s="3">
        <v>9210.2042558391258</v>
      </c>
      <c r="L53" s="3">
        <v>0</v>
      </c>
      <c r="M53" s="3">
        <v>0</v>
      </c>
      <c r="N53" s="3">
        <v>974.92993157934086</v>
      </c>
      <c r="O53" s="3">
        <v>0</v>
      </c>
      <c r="P53" s="3">
        <v>0</v>
      </c>
      <c r="Q53" s="3">
        <v>0</v>
      </c>
    </row>
    <row r="54" spans="1:17" x14ac:dyDescent="0.3">
      <c r="A54">
        <v>2016</v>
      </c>
      <c r="B54" s="3">
        <v>48047</v>
      </c>
      <c r="C54" s="3">
        <v>0</v>
      </c>
      <c r="D54" s="3">
        <v>38.94567926820099</v>
      </c>
      <c r="E54" s="3">
        <v>12490.445156215259</v>
      </c>
      <c r="F54" s="3">
        <v>0</v>
      </c>
      <c r="G54" s="3">
        <v>28722.812750039018</v>
      </c>
      <c r="H54" s="3">
        <v>2978.0932653789882</v>
      </c>
      <c r="I54" s="3">
        <v>0</v>
      </c>
      <c r="J54" s="3">
        <v>20418.624968991091</v>
      </c>
      <c r="K54" s="3">
        <v>14561.800890621449</v>
      </c>
      <c r="L54" s="3">
        <v>0</v>
      </c>
      <c r="M54" s="3">
        <v>0</v>
      </c>
      <c r="N54" s="3">
        <v>71.533038789197988</v>
      </c>
      <c r="O54" s="3">
        <v>0</v>
      </c>
      <c r="P54" s="3">
        <v>0</v>
      </c>
      <c r="Q54" s="3">
        <v>0</v>
      </c>
    </row>
    <row r="55" spans="1:17" x14ac:dyDescent="0.3">
      <c r="A55">
        <v>2017</v>
      </c>
      <c r="B55" s="3">
        <v>84950.000199999995</v>
      </c>
      <c r="C55" s="3">
        <v>0</v>
      </c>
      <c r="D55" s="3">
        <v>128.3179738130288</v>
      </c>
      <c r="E55" s="3">
        <v>16244.766150313355</v>
      </c>
      <c r="F55" s="3">
        <v>81.191010829999996</v>
      </c>
      <c r="G55" s="3">
        <v>137702.04518160297</v>
      </c>
      <c r="H55" s="3">
        <v>7582.4944470659129</v>
      </c>
      <c r="I55" s="3">
        <v>0</v>
      </c>
      <c r="J55" s="3">
        <v>43856.292019776425</v>
      </c>
      <c r="K55" s="3">
        <v>39354.530999216899</v>
      </c>
      <c r="L55" s="3">
        <v>0</v>
      </c>
      <c r="M55" s="3">
        <v>175.87944395625701</v>
      </c>
      <c r="N55" s="3">
        <v>17101.193322942068</v>
      </c>
      <c r="O55" s="3">
        <v>0</v>
      </c>
      <c r="P55" s="3">
        <v>0</v>
      </c>
      <c r="Q55" s="3">
        <v>0</v>
      </c>
    </row>
    <row r="56" spans="1:17" x14ac:dyDescent="0.3">
      <c r="A56">
        <v>2018</v>
      </c>
      <c r="B56" s="3">
        <v>61732.001999999993</v>
      </c>
      <c r="C56" s="3">
        <v>0</v>
      </c>
      <c r="D56" s="3">
        <v>0</v>
      </c>
      <c r="E56" s="3">
        <v>12002.337150608455</v>
      </c>
      <c r="F56" s="3">
        <v>260.97070339276786</v>
      </c>
      <c r="G56" s="3">
        <v>47385.026577661396</v>
      </c>
      <c r="H56" s="3">
        <v>4530.0785212919982</v>
      </c>
      <c r="I56" s="3">
        <v>0</v>
      </c>
      <c r="J56" s="3">
        <v>28366.967361204868</v>
      </c>
      <c r="K56" s="3">
        <v>44632.335753363514</v>
      </c>
      <c r="L56" s="3">
        <v>0</v>
      </c>
      <c r="M56" s="3">
        <v>0</v>
      </c>
      <c r="N56" s="3">
        <v>1909.1044488962364</v>
      </c>
      <c r="O56" s="3">
        <v>0</v>
      </c>
      <c r="P56" s="3">
        <v>0</v>
      </c>
      <c r="Q56" s="3">
        <v>0</v>
      </c>
    </row>
    <row r="57" spans="1:17" x14ac:dyDescent="0.3">
      <c r="A57">
        <v>2019</v>
      </c>
      <c r="B57" s="3">
        <v>49517</v>
      </c>
      <c r="C57" s="3">
        <v>0</v>
      </c>
      <c r="D57" s="3">
        <v>0</v>
      </c>
      <c r="E57" s="3">
        <v>808.41681865957844</v>
      </c>
      <c r="F57" s="3">
        <v>0</v>
      </c>
      <c r="G57" s="3">
        <v>9002.2322570143588</v>
      </c>
      <c r="H57" s="3">
        <v>1328.6411262549195</v>
      </c>
      <c r="I57" s="3">
        <v>0</v>
      </c>
      <c r="J57" s="3">
        <v>1664.7699264608632</v>
      </c>
      <c r="K57" s="3">
        <v>9739.4115633512884</v>
      </c>
      <c r="L57" s="3">
        <v>0</v>
      </c>
      <c r="M57" s="3">
        <v>0</v>
      </c>
      <c r="N57" s="3">
        <v>644.0544537237854</v>
      </c>
      <c r="O57" s="3">
        <v>0</v>
      </c>
      <c r="P57" s="3"/>
      <c r="Q57" s="3"/>
    </row>
    <row r="58" spans="1:17" x14ac:dyDescent="0.3">
      <c r="A58">
        <v>2020</v>
      </c>
      <c r="B58" s="3">
        <v>56190</v>
      </c>
      <c r="C58" s="3">
        <v>0</v>
      </c>
      <c r="D58" s="3">
        <v>0</v>
      </c>
      <c r="E58" s="3">
        <v>3936.8250230935469</v>
      </c>
      <c r="F58" s="3">
        <v>0</v>
      </c>
      <c r="G58" s="3">
        <v>14370.338503365114</v>
      </c>
      <c r="H58" s="3">
        <v>849.97300764480644</v>
      </c>
      <c r="I58" s="3">
        <v>0</v>
      </c>
      <c r="J58" s="3">
        <v>5747.5761937975731</v>
      </c>
      <c r="K58" s="3">
        <v>7236.3055896375226</v>
      </c>
      <c r="L58" s="3">
        <v>0</v>
      </c>
      <c r="M58" s="3"/>
      <c r="N58" s="3"/>
      <c r="O58" s="3"/>
      <c r="P58" s="3"/>
      <c r="Q58" s="3"/>
    </row>
    <row r="59" spans="1:17" x14ac:dyDescent="0.3">
      <c r="A59">
        <v>2021</v>
      </c>
      <c r="B59" s="3">
        <v>108225</v>
      </c>
      <c r="C59" s="3">
        <v>0</v>
      </c>
      <c r="D59" s="3">
        <v>0</v>
      </c>
      <c r="E59" s="3">
        <v>2497.6505349824802</v>
      </c>
      <c r="F59" s="3">
        <v>0</v>
      </c>
      <c r="G59" s="3">
        <v>27795.145307929099</v>
      </c>
      <c r="H59" s="3">
        <v>39707.779329893179</v>
      </c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3">
      <c r="A60">
        <v>2022</v>
      </c>
      <c r="B60" s="3">
        <v>82823.998000000007</v>
      </c>
      <c r="C60" s="3">
        <v>0</v>
      </c>
      <c r="D60" s="3">
        <v>0</v>
      </c>
      <c r="E60" s="3">
        <v>9590.9217908479259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3">
      <c r="A61">
        <v>2023</v>
      </c>
      <c r="B61" s="3">
        <v>63129.000999999997</v>
      </c>
      <c r="C61" s="3">
        <v>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3">
      <c r="A62">
        <v>2024</v>
      </c>
      <c r="B62" s="3">
        <v>30251.996999999999</v>
      </c>
    </row>
    <row r="63" spans="1:17" x14ac:dyDescent="0.3">
      <c r="A63">
        <v>2025</v>
      </c>
      <c r="B63" s="3">
        <v>81086</v>
      </c>
    </row>
    <row r="64" spans="1:17" x14ac:dyDescent="0.3">
      <c r="B64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8644-E711-4D1F-A502-F70A8ED57ADC}">
  <dimension ref="A1:S66"/>
  <sheetViews>
    <sheetView topLeftCell="A34" workbookViewId="0">
      <selection activeCell="X55" sqref="X55"/>
    </sheetView>
  </sheetViews>
  <sheetFormatPr defaultRowHeight="14.4" x14ac:dyDescent="0.3"/>
  <sheetData>
    <row r="1" spans="1:19" x14ac:dyDescent="0.3">
      <c r="A1" t="s">
        <v>12</v>
      </c>
    </row>
    <row r="4" spans="1:19" x14ac:dyDescent="0.3">
      <c r="A4" t="s">
        <v>0</v>
      </c>
      <c r="B4" t="s">
        <v>7</v>
      </c>
      <c r="I4" t="s">
        <v>8</v>
      </c>
    </row>
    <row r="5" spans="1:19" x14ac:dyDescent="0.3">
      <c r="A5" t="s">
        <v>2</v>
      </c>
      <c r="B5" t="s">
        <v>11</v>
      </c>
      <c r="C5">
        <v>0.2</v>
      </c>
      <c r="D5">
        <v>1.1000000000000001</v>
      </c>
      <c r="E5">
        <v>0.3</v>
      </c>
      <c r="F5">
        <v>1.2</v>
      </c>
      <c r="G5">
        <v>2.1</v>
      </c>
      <c r="H5">
        <v>0.4</v>
      </c>
      <c r="I5">
        <v>1.3</v>
      </c>
      <c r="J5">
        <v>2.2000000000000002</v>
      </c>
      <c r="K5">
        <v>3.1</v>
      </c>
      <c r="L5">
        <v>1.4</v>
      </c>
      <c r="M5" t="s">
        <v>9</v>
      </c>
      <c r="N5">
        <v>3.2</v>
      </c>
      <c r="O5">
        <v>4.0999999999999996</v>
      </c>
      <c r="P5">
        <v>2.4</v>
      </c>
      <c r="Q5">
        <v>4.2</v>
      </c>
      <c r="R5">
        <v>3.3</v>
      </c>
      <c r="S5" t="s">
        <v>10</v>
      </c>
    </row>
    <row r="7" spans="1:19" x14ac:dyDescent="0.3">
      <c r="A7">
        <v>1966</v>
      </c>
      <c r="B7" s="1">
        <v>16456</v>
      </c>
      <c r="C7" s="1">
        <v>0</v>
      </c>
      <c r="D7" s="1">
        <v>0</v>
      </c>
      <c r="E7" s="1">
        <v>0</v>
      </c>
      <c r="F7" s="1">
        <v>11819.768147741686</v>
      </c>
      <c r="G7" s="1">
        <v>1732.4482864302236</v>
      </c>
      <c r="H7" s="1">
        <v>0</v>
      </c>
      <c r="I7" s="1">
        <v>7580.2381452869904</v>
      </c>
      <c r="J7" s="1">
        <v>16149.203005176631</v>
      </c>
      <c r="K7" s="1">
        <v>0</v>
      </c>
      <c r="L7" s="1">
        <v>0</v>
      </c>
      <c r="M7" s="1">
        <v>2628.8366711473896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3">
      <c r="A8">
        <v>1967</v>
      </c>
      <c r="B8" s="1">
        <v>21834</v>
      </c>
      <c r="C8" s="1">
        <v>0</v>
      </c>
      <c r="D8" s="1">
        <v>1117.7085718904668</v>
      </c>
      <c r="E8" s="1">
        <v>0</v>
      </c>
      <c r="F8" s="1">
        <v>38626.256983810228</v>
      </c>
      <c r="G8" s="1">
        <v>395.49068584106033</v>
      </c>
      <c r="H8" s="1">
        <v>0</v>
      </c>
      <c r="I8" s="1">
        <v>38394.851381231609</v>
      </c>
      <c r="J8" s="1">
        <v>11553.045370568791</v>
      </c>
      <c r="K8" s="1">
        <v>0</v>
      </c>
      <c r="L8" s="1">
        <v>0</v>
      </c>
      <c r="M8" s="1">
        <v>5114.4196004666437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">
      <c r="A9">
        <v>1968</v>
      </c>
      <c r="B9" s="1">
        <v>16738</v>
      </c>
      <c r="C9" s="1">
        <v>0</v>
      </c>
      <c r="D9" s="1">
        <v>461.40580014790373</v>
      </c>
      <c r="E9" s="1">
        <v>0</v>
      </c>
      <c r="F9" s="1">
        <v>15565.48028968849</v>
      </c>
      <c r="G9" s="1">
        <v>899.33886118200166</v>
      </c>
      <c r="H9" s="1">
        <v>0</v>
      </c>
      <c r="I9" s="1">
        <v>15228.328023861353</v>
      </c>
      <c r="J9" s="1">
        <v>14998.466468784201</v>
      </c>
      <c r="K9" s="1">
        <v>0</v>
      </c>
      <c r="L9" s="1">
        <v>0</v>
      </c>
      <c r="M9" s="1">
        <v>10757.096660164676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">
      <c r="A10">
        <v>1969</v>
      </c>
      <c r="B10" s="1">
        <v>14041</v>
      </c>
      <c r="C10" s="1">
        <v>0</v>
      </c>
      <c r="D10" s="1">
        <v>138.35982479723103</v>
      </c>
      <c r="E10" s="1">
        <v>0</v>
      </c>
      <c r="F10" s="1">
        <v>14653.674136168473</v>
      </c>
      <c r="G10" s="1">
        <v>5229.3503780052197</v>
      </c>
      <c r="H10" s="1">
        <v>0</v>
      </c>
      <c r="I10" s="1">
        <v>9305.7423488726181</v>
      </c>
      <c r="J10" s="1">
        <v>30136.945405064529</v>
      </c>
      <c r="K10" s="1">
        <v>0</v>
      </c>
      <c r="L10" s="1">
        <v>0</v>
      </c>
      <c r="M10" s="1">
        <v>6007.4123366600024</v>
      </c>
      <c r="N10" s="1">
        <v>0</v>
      </c>
      <c r="O10" s="1">
        <v>0</v>
      </c>
      <c r="P10" s="1">
        <v>0</v>
      </c>
      <c r="Q10" s="1">
        <v>0</v>
      </c>
      <c r="R10" s="1">
        <v>512.3641545412745</v>
      </c>
      <c r="S10" s="1">
        <v>0</v>
      </c>
    </row>
    <row r="11" spans="1:19" x14ac:dyDescent="0.3">
      <c r="A11">
        <v>1970</v>
      </c>
      <c r="B11" s="1">
        <v>24039</v>
      </c>
      <c r="C11" s="1">
        <v>0</v>
      </c>
      <c r="D11" s="1">
        <v>2241.1501620022368</v>
      </c>
      <c r="E11" s="1">
        <v>0</v>
      </c>
      <c r="F11" s="1">
        <v>17672.373084556253</v>
      </c>
      <c r="G11" s="1">
        <v>16989.382820418814</v>
      </c>
      <c r="H11" s="1">
        <v>0</v>
      </c>
      <c r="I11" s="1">
        <v>1687.4753754662927</v>
      </c>
      <c r="J11" s="1">
        <v>51299.251414175298</v>
      </c>
      <c r="K11" s="1">
        <v>0</v>
      </c>
      <c r="L11" s="1">
        <v>0</v>
      </c>
      <c r="M11" s="1">
        <v>9350.6458203782586</v>
      </c>
      <c r="N11" s="1">
        <v>3074.1849272476466</v>
      </c>
      <c r="O11" s="1">
        <v>0</v>
      </c>
      <c r="P11" s="1">
        <v>0</v>
      </c>
      <c r="Q11" s="1">
        <v>0</v>
      </c>
      <c r="R11" s="1">
        <v>1690.9717630393905</v>
      </c>
      <c r="S11" s="1">
        <v>0</v>
      </c>
    </row>
    <row r="12" spans="1:19" x14ac:dyDescent="0.3">
      <c r="A12">
        <v>1971</v>
      </c>
      <c r="B12" s="1">
        <v>55366</v>
      </c>
      <c r="C12" s="1">
        <v>0</v>
      </c>
      <c r="D12" s="1">
        <v>512.24269810307987</v>
      </c>
      <c r="E12" s="1">
        <v>0</v>
      </c>
      <c r="F12" s="1">
        <v>1417.479315391686</v>
      </c>
      <c r="G12" s="1">
        <v>6344.9074117532609</v>
      </c>
      <c r="H12" s="1">
        <v>0</v>
      </c>
      <c r="I12" s="1">
        <v>768.54623181191164</v>
      </c>
      <c r="J12" s="1">
        <v>92225.547817429411</v>
      </c>
      <c r="K12" s="1">
        <v>0</v>
      </c>
      <c r="L12" s="1">
        <v>0</v>
      </c>
      <c r="M12" s="1">
        <v>20150.74684288607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3">
      <c r="A13">
        <v>1972</v>
      </c>
      <c r="B13" s="1">
        <v>66419</v>
      </c>
      <c r="C13" s="1">
        <v>0</v>
      </c>
      <c r="D13" s="1">
        <v>742.48916520516889</v>
      </c>
      <c r="E13" s="1">
        <v>0</v>
      </c>
      <c r="F13" s="1">
        <v>10887.738284002082</v>
      </c>
      <c r="G13" s="1">
        <v>11015.829322637401</v>
      </c>
      <c r="H13" s="1">
        <v>0</v>
      </c>
      <c r="I13" s="1">
        <v>8032.115874437105</v>
      </c>
      <c r="J13" s="1">
        <v>91876.132458473556</v>
      </c>
      <c r="K13" s="1">
        <v>0</v>
      </c>
      <c r="L13" s="1">
        <v>0</v>
      </c>
      <c r="M13" s="1">
        <v>71167.100507906769</v>
      </c>
      <c r="N13" s="1">
        <v>344.63486928768413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3">
      <c r="A14">
        <v>1973</v>
      </c>
      <c r="B14" s="1">
        <v>56255</v>
      </c>
      <c r="C14" s="1">
        <v>0</v>
      </c>
      <c r="D14" s="1">
        <v>256.18207727063725</v>
      </c>
      <c r="E14" s="1">
        <v>0</v>
      </c>
      <c r="F14" s="1">
        <v>2677.3719581457017</v>
      </c>
      <c r="G14" s="1">
        <v>5636.5725434646356</v>
      </c>
      <c r="H14" s="1">
        <v>0</v>
      </c>
      <c r="I14" s="1">
        <v>4824.8881700275779</v>
      </c>
      <c r="J14" s="1">
        <v>31706.407974466936</v>
      </c>
      <c r="K14" s="1">
        <v>344.63486928768413</v>
      </c>
      <c r="L14" s="1">
        <v>0</v>
      </c>
      <c r="M14" s="1">
        <v>15968.874698521604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">
      <c r="A15">
        <v>1974</v>
      </c>
      <c r="B15" s="1">
        <v>82609</v>
      </c>
      <c r="C15" s="1">
        <v>0</v>
      </c>
      <c r="D15" s="1">
        <v>10850.402146169423</v>
      </c>
      <c r="E15" s="1">
        <v>0</v>
      </c>
      <c r="F15" s="1">
        <v>53590.722174234885</v>
      </c>
      <c r="G15" s="1">
        <v>9305.1414707674721</v>
      </c>
      <c r="H15" s="1">
        <v>0</v>
      </c>
      <c r="I15" s="1">
        <v>28713.26508291865</v>
      </c>
      <c r="J15" s="1">
        <v>75084.420457471773</v>
      </c>
      <c r="K15" s="1">
        <v>153.54687210116927</v>
      </c>
      <c r="L15" s="1">
        <v>460.70830559696532</v>
      </c>
      <c r="M15" s="1">
        <v>30406.748169399707</v>
      </c>
      <c r="N15" s="1">
        <v>460.70830559696532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3">
      <c r="A16">
        <v>1975</v>
      </c>
      <c r="B16" s="1">
        <v>64199</v>
      </c>
      <c r="C16" s="1">
        <v>0</v>
      </c>
      <c r="D16" s="1">
        <v>1033.9046078630524</v>
      </c>
      <c r="E16" s="1">
        <v>0</v>
      </c>
      <c r="F16" s="1">
        <v>22571.390198871879</v>
      </c>
      <c r="G16" s="1">
        <v>8905.7185818678172</v>
      </c>
      <c r="H16" s="1">
        <v>0</v>
      </c>
      <c r="I16" s="1">
        <v>20731.873751863437</v>
      </c>
      <c r="J16" s="1">
        <v>173687.03121005592</v>
      </c>
      <c r="K16" s="1">
        <v>0</v>
      </c>
      <c r="L16" s="1">
        <v>0</v>
      </c>
      <c r="M16" s="1">
        <v>72700.928214047468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">
      <c r="A17">
        <v>1976</v>
      </c>
      <c r="B17" s="1">
        <v>119321</v>
      </c>
      <c r="C17" s="1">
        <v>0</v>
      </c>
      <c r="D17" s="1">
        <v>2149.6562094163696</v>
      </c>
      <c r="E17" s="1">
        <v>0</v>
      </c>
      <c r="F17" s="1">
        <v>223443.52821452817</v>
      </c>
      <c r="G17" s="1">
        <v>8753.4578063423396</v>
      </c>
      <c r="H17" s="1">
        <v>0</v>
      </c>
      <c r="I17" s="1">
        <v>73676.77959947093</v>
      </c>
      <c r="J17" s="1">
        <v>257624.76575179238</v>
      </c>
      <c r="K17" s="1">
        <v>0</v>
      </c>
      <c r="L17" s="1">
        <v>0</v>
      </c>
      <c r="M17" s="1">
        <v>143383.33442237531</v>
      </c>
      <c r="N17" s="1">
        <v>0</v>
      </c>
      <c r="O17" s="1">
        <v>0</v>
      </c>
      <c r="P17" s="1">
        <v>0</v>
      </c>
      <c r="Q17" s="1">
        <v>0</v>
      </c>
      <c r="R17" s="1">
        <v>392.64630423367248</v>
      </c>
      <c r="S17" s="1">
        <v>0</v>
      </c>
    </row>
    <row r="18" spans="1:19" x14ac:dyDescent="0.3">
      <c r="A18">
        <v>1977</v>
      </c>
      <c r="B18" s="1">
        <v>139548</v>
      </c>
      <c r="C18" s="1">
        <v>0</v>
      </c>
      <c r="D18" s="1">
        <v>2764.2498335817918</v>
      </c>
      <c r="E18" s="1">
        <v>0</v>
      </c>
      <c r="F18" s="1">
        <v>73188.853906759206</v>
      </c>
      <c r="G18" s="1">
        <v>2927.5541562703679</v>
      </c>
      <c r="H18" s="1">
        <v>0</v>
      </c>
      <c r="I18" s="1">
        <v>92211.190335237829</v>
      </c>
      <c r="J18" s="1">
        <v>107917.49198574538</v>
      </c>
      <c r="K18" s="1">
        <v>0</v>
      </c>
      <c r="L18" s="1">
        <v>0</v>
      </c>
      <c r="M18" s="1">
        <v>146064.42517492617</v>
      </c>
      <c r="N18" s="1">
        <v>392.64630423367248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">
      <c r="A19">
        <v>1978</v>
      </c>
      <c r="B19" s="1">
        <v>141981</v>
      </c>
      <c r="C19" s="1">
        <v>0</v>
      </c>
      <c r="D19" s="1">
        <v>7806.8110833876481</v>
      </c>
      <c r="E19" s="1">
        <v>0</v>
      </c>
      <c r="F19" s="1">
        <v>162129.56542459398</v>
      </c>
      <c r="G19" s="1">
        <v>506.65489195185626</v>
      </c>
      <c r="H19" s="1">
        <v>0</v>
      </c>
      <c r="I19" s="1">
        <v>24147.747710370859</v>
      </c>
      <c r="J19" s="1">
        <v>22969.808797669837</v>
      </c>
      <c r="K19" s="1">
        <v>0</v>
      </c>
      <c r="L19" s="1">
        <v>0</v>
      </c>
      <c r="M19" s="1">
        <v>16844.25</v>
      </c>
      <c r="N19" s="1">
        <v>0</v>
      </c>
      <c r="O19" s="1">
        <v>0</v>
      </c>
      <c r="P19" s="1">
        <v>0</v>
      </c>
      <c r="Q19" s="1">
        <v>0</v>
      </c>
      <c r="R19" s="1">
        <v>637.87099999999998</v>
      </c>
      <c r="S19" s="1">
        <v>0</v>
      </c>
    </row>
    <row r="20" spans="1:19" x14ac:dyDescent="0.3">
      <c r="A20">
        <v>1979</v>
      </c>
      <c r="B20" s="1">
        <v>126742</v>
      </c>
      <c r="C20" s="1">
        <v>0</v>
      </c>
      <c r="D20" s="1">
        <v>506.65489195185626</v>
      </c>
      <c r="E20" s="1">
        <v>0</v>
      </c>
      <c r="F20" s="1">
        <v>1374.2620648178536</v>
      </c>
      <c r="G20" s="1">
        <v>981.6157605841812</v>
      </c>
      <c r="H20" s="1">
        <v>0</v>
      </c>
      <c r="I20" s="1">
        <v>2964.5880000000002</v>
      </c>
      <c r="J20" s="1">
        <v>24323.097000000002</v>
      </c>
      <c r="K20" s="1">
        <v>0</v>
      </c>
      <c r="L20" s="1">
        <v>0</v>
      </c>
      <c r="M20" s="1">
        <v>26790.582000000002</v>
      </c>
      <c r="N20" s="1">
        <v>0</v>
      </c>
      <c r="O20" s="1">
        <v>0</v>
      </c>
      <c r="P20" s="1">
        <v>0</v>
      </c>
      <c r="Q20" s="1">
        <v>0</v>
      </c>
      <c r="R20" s="1">
        <v>2164.7297062333537</v>
      </c>
      <c r="S20" s="1">
        <v>0</v>
      </c>
    </row>
    <row r="21" spans="1:19" x14ac:dyDescent="0.3">
      <c r="A21">
        <v>1980</v>
      </c>
      <c r="B21" s="1">
        <v>405535</v>
      </c>
      <c r="C21" s="1">
        <v>0</v>
      </c>
      <c r="D21" s="1">
        <v>0</v>
      </c>
      <c r="E21" s="1">
        <v>0</v>
      </c>
      <c r="F21" s="1">
        <v>6063.93</v>
      </c>
      <c r="G21" s="1">
        <v>16305.234</v>
      </c>
      <c r="H21" s="1">
        <v>0</v>
      </c>
      <c r="I21" s="1">
        <v>7654.4519999999993</v>
      </c>
      <c r="J21" s="1">
        <v>589392.804</v>
      </c>
      <c r="K21" s="1">
        <v>0</v>
      </c>
      <c r="L21" s="1">
        <v>0</v>
      </c>
      <c r="M21" s="1">
        <v>141065.16762955528</v>
      </c>
      <c r="N21" s="1">
        <v>684.48837815836691</v>
      </c>
      <c r="O21" s="1">
        <v>0</v>
      </c>
      <c r="P21" s="1">
        <v>45.97520728836114</v>
      </c>
      <c r="Q21" s="1">
        <v>0</v>
      </c>
      <c r="R21" s="1">
        <v>52</v>
      </c>
      <c r="S21" s="1">
        <v>0</v>
      </c>
    </row>
    <row r="22" spans="1:19" x14ac:dyDescent="0.3">
      <c r="A22">
        <v>1981</v>
      </c>
      <c r="B22" s="1">
        <v>377716</v>
      </c>
      <c r="C22" s="1">
        <v>0</v>
      </c>
      <c r="D22" s="1">
        <v>875.90100000000007</v>
      </c>
      <c r="E22" s="1">
        <v>0</v>
      </c>
      <c r="F22" s="1">
        <v>12119.548999999999</v>
      </c>
      <c r="G22" s="1">
        <v>0</v>
      </c>
      <c r="H22" s="1">
        <v>0</v>
      </c>
      <c r="I22" s="1">
        <v>2454.8626401852539</v>
      </c>
      <c r="J22" s="1">
        <v>7747.6760663563291</v>
      </c>
      <c r="K22" s="1">
        <v>0</v>
      </c>
      <c r="L22" s="1">
        <v>172.1123144641212</v>
      </c>
      <c r="M22" s="1">
        <v>5238.8159279353049</v>
      </c>
      <c r="N22" s="1">
        <v>0</v>
      </c>
      <c r="O22" s="1">
        <v>0</v>
      </c>
      <c r="P22" s="1">
        <v>0</v>
      </c>
      <c r="Q22" s="1">
        <v>0</v>
      </c>
      <c r="R22" s="1">
        <v>861.62537699355005</v>
      </c>
      <c r="S22" s="1">
        <v>0</v>
      </c>
    </row>
    <row r="23" spans="1:19" x14ac:dyDescent="0.3">
      <c r="A23">
        <v>1982</v>
      </c>
      <c r="B23" s="1">
        <v>430423</v>
      </c>
      <c r="C23" s="1">
        <v>0</v>
      </c>
      <c r="D23" s="1">
        <v>1275.742</v>
      </c>
      <c r="E23" s="1">
        <v>0</v>
      </c>
      <c r="F23" s="1">
        <v>23647.242529380615</v>
      </c>
      <c r="G23" s="1">
        <v>430.9741640256384</v>
      </c>
      <c r="H23" s="1">
        <v>0</v>
      </c>
      <c r="I23" s="1">
        <v>28623.692517146072</v>
      </c>
      <c r="J23" s="1">
        <v>3734.6014535776435</v>
      </c>
      <c r="K23" s="1">
        <v>24</v>
      </c>
      <c r="L23" s="1">
        <v>753.6895846271874</v>
      </c>
      <c r="M23" s="1">
        <v>10869.878676067658</v>
      </c>
      <c r="N23" s="1">
        <v>10812.188856009774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3">
      <c r="A24">
        <v>1983</v>
      </c>
      <c r="B24" s="1">
        <v>158340</v>
      </c>
      <c r="C24" s="1">
        <v>0</v>
      </c>
      <c r="D24" s="1">
        <v>9.8588861051616625</v>
      </c>
      <c r="E24" s="1">
        <v>26</v>
      </c>
      <c r="F24" s="1">
        <v>8934.515283038183</v>
      </c>
      <c r="G24" s="1">
        <v>9729.0611730985765</v>
      </c>
      <c r="H24" s="1">
        <v>0</v>
      </c>
      <c r="I24" s="1">
        <v>13438.006149612147</v>
      </c>
      <c r="J24" s="1">
        <v>380531.35791148618</v>
      </c>
      <c r="K24" s="1">
        <v>1604.1491899966309</v>
      </c>
      <c r="L24" s="1">
        <v>0</v>
      </c>
      <c r="M24" s="1">
        <v>586833</v>
      </c>
      <c r="N24" s="1">
        <v>0</v>
      </c>
      <c r="O24" s="1">
        <v>0</v>
      </c>
      <c r="P24" s="1">
        <v>0</v>
      </c>
      <c r="Q24" s="1">
        <v>0</v>
      </c>
      <c r="R24" s="1">
        <v>36986</v>
      </c>
      <c r="S24" s="1">
        <v>0</v>
      </c>
    </row>
    <row r="25" spans="1:19" x14ac:dyDescent="0.3">
      <c r="A25">
        <v>1984</v>
      </c>
      <c r="B25" s="1">
        <v>53524</v>
      </c>
      <c r="C25" s="1">
        <v>0</v>
      </c>
      <c r="D25" s="1">
        <v>1000.8448971235542</v>
      </c>
      <c r="E25" s="1">
        <v>0</v>
      </c>
      <c r="F25" s="1">
        <v>5770.8429677256991</v>
      </c>
      <c r="G25" s="1">
        <v>33627.582207934014</v>
      </c>
      <c r="H25" s="1">
        <v>0</v>
      </c>
      <c r="I25" s="1">
        <v>7437</v>
      </c>
      <c r="J25" s="1">
        <v>386832</v>
      </c>
      <c r="K25" s="1">
        <v>0</v>
      </c>
      <c r="L25" s="1">
        <v>0</v>
      </c>
      <c r="M25" s="1">
        <v>67141.774319477612</v>
      </c>
      <c r="N25" s="1">
        <v>2046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">
      <c r="A26">
        <v>1985</v>
      </c>
      <c r="B26" s="1">
        <v>485835</v>
      </c>
      <c r="C26" s="1">
        <v>0</v>
      </c>
      <c r="D26" s="1">
        <v>191.67907954716122</v>
      </c>
      <c r="E26" s="1">
        <v>0</v>
      </c>
      <c r="F26" s="1">
        <v>16502</v>
      </c>
      <c r="G26" s="1">
        <v>4399</v>
      </c>
      <c r="H26" s="1">
        <v>0</v>
      </c>
      <c r="I26" s="1">
        <v>49289.971540989965</v>
      </c>
      <c r="J26" s="1">
        <v>53978.498219934962</v>
      </c>
      <c r="K26" s="1">
        <v>151</v>
      </c>
      <c r="L26" s="1">
        <v>0</v>
      </c>
      <c r="M26" s="1">
        <v>22578</v>
      </c>
      <c r="N26" s="1">
        <v>9032</v>
      </c>
      <c r="O26" s="1">
        <v>0</v>
      </c>
      <c r="P26" s="1">
        <v>1595.0065124795115</v>
      </c>
      <c r="Q26" s="1">
        <v>0</v>
      </c>
      <c r="R26" s="1">
        <v>2694.4139864816716</v>
      </c>
      <c r="S26" s="1">
        <v>0</v>
      </c>
    </row>
    <row r="27" spans="1:19" x14ac:dyDescent="0.3">
      <c r="A27">
        <v>1986</v>
      </c>
      <c r="B27" s="1">
        <v>126529</v>
      </c>
      <c r="C27" s="1">
        <v>1393</v>
      </c>
      <c r="D27" s="1">
        <v>67475</v>
      </c>
      <c r="E27" s="1">
        <v>0</v>
      </c>
      <c r="F27" s="1">
        <v>727658.47712352069</v>
      </c>
      <c r="G27" s="1">
        <v>40793.635901796806</v>
      </c>
      <c r="H27" s="1">
        <v>0</v>
      </c>
      <c r="I27" s="1">
        <v>230893</v>
      </c>
      <c r="J27" s="1">
        <v>972290</v>
      </c>
      <c r="K27" s="1">
        <v>0</v>
      </c>
      <c r="L27" s="1">
        <v>0</v>
      </c>
      <c r="M27" s="1">
        <v>168815.31614579621</v>
      </c>
      <c r="N27" s="1">
        <v>9128.5447349234455</v>
      </c>
      <c r="O27" s="1">
        <v>0</v>
      </c>
      <c r="P27" s="1">
        <v>0</v>
      </c>
      <c r="Q27" s="1">
        <v>0</v>
      </c>
      <c r="R27" s="1">
        <v>8583.9361192387405</v>
      </c>
      <c r="S27" s="1">
        <v>0</v>
      </c>
    </row>
    <row r="28" spans="1:19" x14ac:dyDescent="0.3">
      <c r="A28">
        <v>1987</v>
      </c>
      <c r="B28" s="1">
        <v>40544</v>
      </c>
      <c r="C28" s="1">
        <v>0</v>
      </c>
      <c r="D28" s="1">
        <v>1787.3388997083161</v>
      </c>
      <c r="E28" s="1">
        <v>1851</v>
      </c>
      <c r="F28" s="1">
        <v>3019</v>
      </c>
      <c r="G28" s="1">
        <v>26596</v>
      </c>
      <c r="H28" s="1">
        <v>0</v>
      </c>
      <c r="I28" s="1">
        <v>3902.0308575312879</v>
      </c>
      <c r="J28" s="1">
        <v>187580.98978176617</v>
      </c>
      <c r="K28" s="1">
        <v>0</v>
      </c>
      <c r="L28" s="1">
        <v>0</v>
      </c>
      <c r="M28" s="1">
        <v>159822.44781872674</v>
      </c>
      <c r="N28" s="1">
        <v>103.96690350505045</v>
      </c>
      <c r="O28" s="1">
        <v>0</v>
      </c>
      <c r="P28" s="1">
        <v>156.42875427373914</v>
      </c>
      <c r="Q28" s="1">
        <v>0</v>
      </c>
      <c r="R28" s="1">
        <v>881.92625162660454</v>
      </c>
      <c r="S28" s="1">
        <v>0</v>
      </c>
    </row>
    <row r="29" spans="1:19" x14ac:dyDescent="0.3">
      <c r="A29">
        <v>1988</v>
      </c>
      <c r="B29" s="1">
        <v>246704</v>
      </c>
      <c r="C29" s="1">
        <v>0</v>
      </c>
      <c r="D29" s="1">
        <v>1886</v>
      </c>
      <c r="E29" s="1">
        <v>0</v>
      </c>
      <c r="F29" s="1">
        <v>21072.697981021716</v>
      </c>
      <c r="G29" s="1">
        <v>7793</v>
      </c>
      <c r="H29" s="1">
        <v>0</v>
      </c>
      <c r="I29" s="1">
        <v>30095.720187063882</v>
      </c>
      <c r="J29" s="1">
        <v>210585.99478210986</v>
      </c>
      <c r="K29" s="1">
        <v>132.99556360000003</v>
      </c>
      <c r="L29" s="1">
        <v>0</v>
      </c>
      <c r="M29" s="1">
        <v>64565.23110197534</v>
      </c>
      <c r="N29" s="1">
        <v>20510.065935184441</v>
      </c>
      <c r="O29" s="1">
        <v>0</v>
      </c>
      <c r="P29" s="1">
        <v>16</v>
      </c>
      <c r="Q29" s="1">
        <v>0</v>
      </c>
      <c r="R29" s="1">
        <v>7994</v>
      </c>
      <c r="S29" s="1">
        <v>0</v>
      </c>
    </row>
    <row r="30" spans="1:19" x14ac:dyDescent="0.3">
      <c r="A30">
        <v>1989</v>
      </c>
      <c r="B30" s="1">
        <v>360373</v>
      </c>
      <c r="C30" s="1">
        <v>0</v>
      </c>
      <c r="D30" s="1">
        <v>16191</v>
      </c>
      <c r="E30" s="1">
        <v>208.01317105857802</v>
      </c>
      <c r="F30" s="1">
        <v>327928.91501749714</v>
      </c>
      <c r="G30" s="1">
        <v>12846.998429200001</v>
      </c>
      <c r="H30" s="1">
        <v>0</v>
      </c>
      <c r="I30" s="1">
        <v>153078.18888682459</v>
      </c>
      <c r="J30" s="1">
        <v>373277.48052973585</v>
      </c>
      <c r="K30" s="1">
        <v>5751.8701488999995</v>
      </c>
      <c r="L30" s="1">
        <v>0</v>
      </c>
      <c r="M30" s="1">
        <v>300182</v>
      </c>
      <c r="N30" s="1">
        <v>145325</v>
      </c>
      <c r="O30" s="1">
        <v>0</v>
      </c>
      <c r="P30" s="1">
        <v>0</v>
      </c>
      <c r="Q30" s="1">
        <v>0</v>
      </c>
      <c r="R30" s="1">
        <v>40754</v>
      </c>
      <c r="S30" s="1">
        <v>0</v>
      </c>
    </row>
    <row r="31" spans="1:19" x14ac:dyDescent="0.3">
      <c r="A31">
        <v>1990</v>
      </c>
      <c r="B31" s="1">
        <v>226707</v>
      </c>
      <c r="C31" s="1">
        <v>0</v>
      </c>
      <c r="D31" s="1">
        <v>1096.0080468000001</v>
      </c>
      <c r="E31" s="1">
        <v>0</v>
      </c>
      <c r="F31" s="1">
        <v>18217.126259979497</v>
      </c>
      <c r="G31" s="1">
        <v>12986.1261694</v>
      </c>
      <c r="H31" s="1">
        <v>0</v>
      </c>
      <c r="I31" s="1">
        <v>33393</v>
      </c>
      <c r="J31" s="1">
        <v>400750</v>
      </c>
      <c r="K31" s="1">
        <v>1678</v>
      </c>
      <c r="L31" s="1">
        <v>0</v>
      </c>
      <c r="M31" s="1">
        <v>210744</v>
      </c>
      <c r="N31" s="1">
        <v>15341</v>
      </c>
      <c r="O31" s="1">
        <v>0</v>
      </c>
      <c r="P31" s="1">
        <v>455</v>
      </c>
      <c r="Q31" s="1">
        <v>0</v>
      </c>
      <c r="R31" s="1">
        <v>9340</v>
      </c>
      <c r="S31" s="1">
        <v>0</v>
      </c>
    </row>
    <row r="32" spans="1:19" x14ac:dyDescent="0.3">
      <c r="A32">
        <v>1991</v>
      </c>
      <c r="B32" s="1">
        <v>190358</v>
      </c>
      <c r="C32" s="1">
        <v>0</v>
      </c>
      <c r="D32" s="1">
        <v>620.7846184</v>
      </c>
      <c r="E32" s="1">
        <v>0</v>
      </c>
      <c r="F32" s="1">
        <v>2031</v>
      </c>
      <c r="G32" s="1">
        <v>57463</v>
      </c>
      <c r="H32" s="1">
        <v>0</v>
      </c>
      <c r="I32" s="1">
        <v>1728</v>
      </c>
      <c r="J32" s="1">
        <v>330834</v>
      </c>
      <c r="K32" s="1">
        <v>302</v>
      </c>
      <c r="L32" s="1">
        <v>0</v>
      </c>
      <c r="M32" s="1">
        <v>105361</v>
      </c>
      <c r="N32" s="1">
        <v>630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">
      <c r="A33">
        <v>1992</v>
      </c>
      <c r="B33" s="1">
        <v>185825</v>
      </c>
      <c r="C33" s="1">
        <v>0</v>
      </c>
      <c r="D33" s="1">
        <v>3545</v>
      </c>
      <c r="E33" s="1">
        <v>0</v>
      </c>
      <c r="F33" s="1">
        <v>20513</v>
      </c>
      <c r="G33" s="1">
        <v>78168</v>
      </c>
      <c r="H33" s="1">
        <v>0</v>
      </c>
      <c r="I33" s="1">
        <v>27471</v>
      </c>
      <c r="J33" s="1">
        <v>211959</v>
      </c>
      <c r="K33" s="1">
        <v>4666</v>
      </c>
      <c r="L33" s="1">
        <v>0</v>
      </c>
      <c r="M33" s="1">
        <v>185147.67165861194</v>
      </c>
      <c r="N33" s="1">
        <v>18140.725834816523</v>
      </c>
      <c r="O33" s="1">
        <v>0</v>
      </c>
      <c r="P33" s="1">
        <v>0</v>
      </c>
      <c r="Q33" s="1">
        <v>0</v>
      </c>
      <c r="R33" s="1">
        <v>2209</v>
      </c>
      <c r="S33" s="1">
        <v>0</v>
      </c>
    </row>
    <row r="34" spans="1:19" x14ac:dyDescent="0.3">
      <c r="A34">
        <v>1993</v>
      </c>
      <c r="B34" s="1">
        <v>178391</v>
      </c>
      <c r="C34" s="1">
        <v>0</v>
      </c>
      <c r="D34" s="1">
        <v>2529</v>
      </c>
      <c r="E34" s="1">
        <v>45</v>
      </c>
      <c r="F34" s="1">
        <v>12677</v>
      </c>
      <c r="G34" s="1">
        <v>41759</v>
      </c>
      <c r="H34" s="1">
        <v>0</v>
      </c>
      <c r="I34" s="1">
        <v>56177.598712037354</v>
      </c>
      <c r="J34" s="1">
        <v>291217.76903586648</v>
      </c>
      <c r="K34" s="1">
        <v>4830.8523505477315</v>
      </c>
      <c r="L34" s="1">
        <v>0</v>
      </c>
      <c r="M34" s="1">
        <v>64155</v>
      </c>
      <c r="N34" s="1">
        <v>17867</v>
      </c>
      <c r="O34" s="1">
        <v>0</v>
      </c>
      <c r="P34" s="1">
        <v>256</v>
      </c>
      <c r="Q34" s="1">
        <v>0</v>
      </c>
      <c r="R34" s="1">
        <v>5830</v>
      </c>
      <c r="S34" s="1">
        <v>0</v>
      </c>
    </row>
    <row r="35" spans="1:19" x14ac:dyDescent="0.3">
      <c r="A35">
        <v>1994</v>
      </c>
      <c r="B35" s="1">
        <v>206071</v>
      </c>
      <c r="C35" s="1">
        <v>0</v>
      </c>
      <c r="D35" s="1">
        <v>2056</v>
      </c>
      <c r="E35" s="1">
        <v>0</v>
      </c>
      <c r="F35" s="1">
        <v>23033.877682277009</v>
      </c>
      <c r="G35" s="1">
        <v>17688.293544709475</v>
      </c>
      <c r="H35" s="1">
        <v>0</v>
      </c>
      <c r="I35" s="1">
        <v>39741</v>
      </c>
      <c r="J35" s="1">
        <v>112849</v>
      </c>
      <c r="K35" s="1">
        <v>1048</v>
      </c>
      <c r="L35" s="1">
        <v>0</v>
      </c>
      <c r="M35" s="1">
        <v>77546</v>
      </c>
      <c r="N35" s="1">
        <v>15427</v>
      </c>
      <c r="O35" s="1">
        <v>0</v>
      </c>
      <c r="P35" s="1">
        <v>187</v>
      </c>
      <c r="Q35" s="1">
        <v>0</v>
      </c>
      <c r="R35" s="1">
        <v>15733</v>
      </c>
      <c r="S35" s="1">
        <v>0</v>
      </c>
    </row>
    <row r="36" spans="1:19" x14ac:dyDescent="0.3">
      <c r="A36">
        <v>1995</v>
      </c>
      <c r="B36" s="1">
        <v>196323</v>
      </c>
      <c r="C36" s="1">
        <v>0</v>
      </c>
      <c r="D36" s="1">
        <v>10106.443811208139</v>
      </c>
      <c r="E36" s="1">
        <v>0</v>
      </c>
      <c r="F36" s="1">
        <v>59574</v>
      </c>
      <c r="G36" s="1">
        <v>39574</v>
      </c>
      <c r="H36" s="1">
        <v>0</v>
      </c>
      <c r="I36" s="1">
        <v>77223</v>
      </c>
      <c r="J36" s="1">
        <v>152287</v>
      </c>
      <c r="K36" s="1">
        <v>1251</v>
      </c>
      <c r="L36" s="1">
        <v>0</v>
      </c>
      <c r="M36" s="1">
        <v>251356</v>
      </c>
      <c r="N36" s="1">
        <v>11284</v>
      </c>
      <c r="O36" s="1">
        <v>0</v>
      </c>
      <c r="P36" s="1">
        <v>878.21366397394956</v>
      </c>
      <c r="Q36" s="1">
        <v>0</v>
      </c>
      <c r="R36" s="1">
        <v>5794.127021103388</v>
      </c>
      <c r="S36" s="1">
        <v>0</v>
      </c>
    </row>
    <row r="37" spans="1:19" x14ac:dyDescent="0.3">
      <c r="A37">
        <v>1996</v>
      </c>
      <c r="B37" s="1">
        <v>198695</v>
      </c>
      <c r="C37" s="1">
        <v>0</v>
      </c>
      <c r="D37" s="1">
        <v>20062</v>
      </c>
      <c r="E37" s="1">
        <v>0</v>
      </c>
      <c r="F37" s="1">
        <v>41983</v>
      </c>
      <c r="G37" s="1">
        <v>22276</v>
      </c>
      <c r="H37" s="1">
        <v>0</v>
      </c>
      <c r="I37" s="1">
        <v>81667</v>
      </c>
      <c r="J37" s="1">
        <v>32786</v>
      </c>
      <c r="K37" s="1">
        <v>26</v>
      </c>
      <c r="L37" s="1">
        <v>1670.2223057173273</v>
      </c>
      <c r="M37" s="1">
        <v>54174.828480180353</v>
      </c>
      <c r="N37" s="1">
        <v>108.83384056609681</v>
      </c>
      <c r="O37" s="1">
        <v>92</v>
      </c>
      <c r="P37" s="1">
        <v>211.31128252873702</v>
      </c>
      <c r="Q37" s="1">
        <v>0</v>
      </c>
      <c r="R37" s="1">
        <v>200.93898999999999</v>
      </c>
      <c r="S37" s="1">
        <v>0</v>
      </c>
    </row>
    <row r="38" spans="1:19" x14ac:dyDescent="0.3">
      <c r="A38">
        <v>1997</v>
      </c>
      <c r="B38" s="1">
        <v>205264</v>
      </c>
      <c r="C38" s="1">
        <v>0</v>
      </c>
      <c r="D38" s="1">
        <v>626</v>
      </c>
      <c r="E38" s="1">
        <v>0</v>
      </c>
      <c r="F38" s="1">
        <v>8327</v>
      </c>
      <c r="G38" s="1">
        <v>1639</v>
      </c>
      <c r="H38" s="1">
        <v>0</v>
      </c>
      <c r="I38" s="1">
        <v>10461.740509737616</v>
      </c>
      <c r="J38" s="1">
        <v>15598.022656396768</v>
      </c>
      <c r="K38" s="1">
        <v>176.28063800489596</v>
      </c>
      <c r="L38" s="1">
        <v>832.97188271049754</v>
      </c>
      <c r="M38" s="1">
        <v>19672.742661539007</v>
      </c>
      <c r="N38" s="1">
        <v>2251.0576080699179</v>
      </c>
      <c r="O38" s="1">
        <v>0</v>
      </c>
      <c r="P38" s="1">
        <v>0</v>
      </c>
      <c r="Q38" s="1">
        <v>0</v>
      </c>
      <c r="R38" s="1">
        <v>0</v>
      </c>
      <c r="S38" s="1">
        <v>76.897344032480731</v>
      </c>
    </row>
    <row r="39" spans="1:19" x14ac:dyDescent="0.3">
      <c r="A39">
        <v>1998</v>
      </c>
      <c r="B39" s="1">
        <v>233755</v>
      </c>
      <c r="C39" s="1">
        <v>0</v>
      </c>
      <c r="D39" s="1">
        <v>367</v>
      </c>
      <c r="E39" s="1">
        <v>0</v>
      </c>
      <c r="F39" s="1">
        <v>1450.0115223245036</v>
      </c>
      <c r="G39" s="1">
        <v>18942.605530905752</v>
      </c>
      <c r="H39" s="1">
        <v>0</v>
      </c>
      <c r="I39" s="1">
        <v>14884.195317606622</v>
      </c>
      <c r="J39" s="1">
        <v>128296.96787801042</v>
      </c>
      <c r="K39" s="1">
        <v>12803.293507426171</v>
      </c>
      <c r="L39" s="1">
        <v>0</v>
      </c>
      <c r="M39" s="1">
        <v>58314.877478826515</v>
      </c>
      <c r="N39" s="1">
        <v>89183.78692801547</v>
      </c>
      <c r="O39" s="1">
        <v>0</v>
      </c>
      <c r="P39" s="1">
        <v>362.21875001145031</v>
      </c>
      <c r="Q39" s="1">
        <v>0</v>
      </c>
      <c r="R39" s="1">
        <v>33767.304014443769</v>
      </c>
      <c r="S39" s="1">
        <v>0</v>
      </c>
    </row>
    <row r="40" spans="1:19" x14ac:dyDescent="0.3">
      <c r="A40">
        <v>1999</v>
      </c>
      <c r="B40" s="1">
        <v>216565</v>
      </c>
      <c r="C40" s="1">
        <v>0</v>
      </c>
      <c r="D40" s="1">
        <v>879.11383108935127</v>
      </c>
      <c r="E40" s="1">
        <v>0</v>
      </c>
      <c r="F40" s="1">
        <v>3754.3817706619075</v>
      </c>
      <c r="G40" s="1">
        <v>104150.20502195947</v>
      </c>
      <c r="H40" s="1">
        <v>0</v>
      </c>
      <c r="I40" s="1">
        <v>78.813974186026996</v>
      </c>
      <c r="J40" s="1">
        <v>484554.29899983172</v>
      </c>
      <c r="K40" s="1">
        <v>0</v>
      </c>
      <c r="L40" s="1">
        <v>0</v>
      </c>
      <c r="M40" s="1">
        <v>239960.86962794585</v>
      </c>
      <c r="N40" s="1">
        <v>1296.5982167184557</v>
      </c>
      <c r="O40" s="1">
        <v>0</v>
      </c>
      <c r="P40" s="1">
        <v>648.97284719393929</v>
      </c>
      <c r="Q40" s="1">
        <v>0</v>
      </c>
      <c r="R40" s="1">
        <v>2576.2938608464497</v>
      </c>
      <c r="S40" s="1">
        <v>97.333674999999985</v>
      </c>
    </row>
    <row r="41" spans="1:19" x14ac:dyDescent="0.3">
      <c r="A41">
        <v>2000</v>
      </c>
      <c r="B41" s="1">
        <v>158044</v>
      </c>
      <c r="C41" s="1">
        <v>0</v>
      </c>
      <c r="D41" s="1">
        <v>26856.058435614355</v>
      </c>
      <c r="E41" s="1">
        <v>0</v>
      </c>
      <c r="F41" s="1">
        <v>69457.334308953679</v>
      </c>
      <c r="G41" s="1">
        <v>10096.82175512315</v>
      </c>
      <c r="H41" s="1">
        <v>0</v>
      </c>
      <c r="I41" s="1">
        <v>218891.06584891636</v>
      </c>
      <c r="J41" s="1">
        <v>105836.60705911083</v>
      </c>
      <c r="K41" s="1">
        <v>0</v>
      </c>
      <c r="L41" s="1">
        <v>720.97258132748266</v>
      </c>
      <c r="M41" s="1">
        <v>79630.681964386968</v>
      </c>
      <c r="N41" s="1">
        <v>435.4029137031813</v>
      </c>
      <c r="O41" s="1">
        <v>0</v>
      </c>
      <c r="P41" s="1">
        <v>678.11473323975576</v>
      </c>
      <c r="Q41" s="1">
        <v>316.0574431316208</v>
      </c>
      <c r="R41" s="1">
        <v>308.745947908772</v>
      </c>
      <c r="S41" s="1">
        <v>514.39815935055697</v>
      </c>
    </row>
    <row r="42" spans="1:19" x14ac:dyDescent="0.3">
      <c r="A42">
        <v>2001</v>
      </c>
      <c r="B42" s="1">
        <v>154349</v>
      </c>
      <c r="C42" s="1">
        <v>0</v>
      </c>
      <c r="D42" s="1">
        <v>565.03568487684902</v>
      </c>
      <c r="E42" s="1">
        <v>0</v>
      </c>
      <c r="F42" s="1">
        <v>21562.503483773082</v>
      </c>
      <c r="G42" s="1">
        <v>2507.8672407964996</v>
      </c>
      <c r="H42" s="1">
        <v>0</v>
      </c>
      <c r="I42" s="1">
        <v>7110.0616998574615</v>
      </c>
      <c r="J42" s="1">
        <v>5096.1915448155705</v>
      </c>
      <c r="K42" s="1">
        <v>8507.5080748359578</v>
      </c>
      <c r="L42" s="1">
        <v>145.04258589963376</v>
      </c>
      <c r="M42" s="1">
        <v>14177.113257574045</v>
      </c>
      <c r="N42" s="1">
        <v>38039.77118513918</v>
      </c>
      <c r="O42" s="1">
        <v>223.4074214226103</v>
      </c>
      <c r="P42" s="1">
        <v>774.04707623523996</v>
      </c>
      <c r="Q42" s="1">
        <v>706.11319829201921</v>
      </c>
      <c r="R42" s="1">
        <v>80473.038513331121</v>
      </c>
      <c r="S42" s="1">
        <v>1501.9362377977534</v>
      </c>
    </row>
    <row r="43" spans="1:19" x14ac:dyDescent="0.3">
      <c r="A43">
        <v>2002</v>
      </c>
      <c r="B43" s="1">
        <v>85317</v>
      </c>
      <c r="C43" s="1">
        <v>0</v>
      </c>
      <c r="D43" s="1">
        <v>1675.2470871997521</v>
      </c>
      <c r="E43" s="1">
        <v>0</v>
      </c>
      <c r="F43" s="1">
        <v>6800.5173591870398</v>
      </c>
      <c r="G43" s="1">
        <v>5172.8811387208207</v>
      </c>
      <c r="H43" s="1">
        <v>0</v>
      </c>
      <c r="I43" s="1">
        <v>6216.00996539882</v>
      </c>
      <c r="J43" s="1">
        <v>34309.358252065504</v>
      </c>
      <c r="K43" s="1">
        <v>8528.021642850088</v>
      </c>
      <c r="L43" s="1">
        <v>0</v>
      </c>
      <c r="M43" s="1">
        <v>44275.073672066945</v>
      </c>
      <c r="N43" s="1">
        <v>35649.761941908102</v>
      </c>
      <c r="O43" s="1">
        <v>0</v>
      </c>
      <c r="P43" s="1">
        <v>415.68750319078072</v>
      </c>
      <c r="Q43" s="1">
        <v>0</v>
      </c>
      <c r="R43" s="1">
        <v>29093.003300884826</v>
      </c>
      <c r="S43" s="1">
        <v>198.10258537578426</v>
      </c>
    </row>
    <row r="44" spans="1:19" x14ac:dyDescent="0.3">
      <c r="A44">
        <v>2003</v>
      </c>
      <c r="B44" s="1">
        <v>201679</v>
      </c>
      <c r="C44" s="1">
        <v>0</v>
      </c>
      <c r="D44" s="1">
        <v>1200.6625464432223</v>
      </c>
      <c r="E44" s="1">
        <v>0</v>
      </c>
      <c r="F44" s="1">
        <v>9899.2123745508798</v>
      </c>
      <c r="G44" s="1">
        <v>44358.643568707441</v>
      </c>
      <c r="H44" s="1">
        <v>0</v>
      </c>
      <c r="I44" s="1">
        <v>16347.822207660922</v>
      </c>
      <c r="J44" s="1">
        <v>169365.29500851192</v>
      </c>
      <c r="K44" s="1">
        <v>3429.5455520681858</v>
      </c>
      <c r="L44" s="1">
        <v>0</v>
      </c>
      <c r="M44" s="1">
        <v>81122.728688497256</v>
      </c>
      <c r="N44" s="1">
        <v>31296.051849570733</v>
      </c>
      <c r="O44" s="1">
        <v>0</v>
      </c>
      <c r="P44" s="1">
        <v>184.19912953495867</v>
      </c>
      <c r="Q44" s="1">
        <v>0</v>
      </c>
      <c r="R44" s="1">
        <v>1235.7226302637773</v>
      </c>
      <c r="S44" s="1">
        <v>0</v>
      </c>
    </row>
    <row r="45" spans="1:19" x14ac:dyDescent="0.3">
      <c r="A45">
        <v>2004</v>
      </c>
      <c r="B45" s="1">
        <v>120664</v>
      </c>
      <c r="C45" s="1">
        <v>0</v>
      </c>
      <c r="D45" s="1">
        <v>11273.88340927074</v>
      </c>
      <c r="E45" s="1">
        <v>0</v>
      </c>
      <c r="F45" s="1">
        <v>147144.5591716434</v>
      </c>
      <c r="G45" s="1">
        <v>19605.594883989175</v>
      </c>
      <c r="H45" s="1">
        <v>0</v>
      </c>
      <c r="I45" s="1">
        <v>91013.933196407932</v>
      </c>
      <c r="J45" s="1">
        <v>197566.72364222983</v>
      </c>
      <c r="K45" s="1">
        <v>0</v>
      </c>
      <c r="L45" s="1">
        <v>297.68422719220422</v>
      </c>
      <c r="M45" s="1">
        <v>25918.123535044699</v>
      </c>
      <c r="N45" s="1">
        <v>243.29883527045368</v>
      </c>
      <c r="O45" s="1">
        <v>0</v>
      </c>
      <c r="P45" s="1">
        <v>175.3232876825204</v>
      </c>
      <c r="Q45" s="1">
        <v>0</v>
      </c>
      <c r="R45" s="1">
        <v>0</v>
      </c>
      <c r="S45" s="1">
        <v>0</v>
      </c>
    </row>
    <row r="46" spans="1:19" x14ac:dyDescent="0.3">
      <c r="A46">
        <v>2005</v>
      </c>
      <c r="B46" s="1">
        <v>136948</v>
      </c>
      <c r="C46" s="1">
        <v>0</v>
      </c>
      <c r="D46" s="1">
        <v>2318.0200510164173</v>
      </c>
      <c r="E46" s="1">
        <v>0</v>
      </c>
      <c r="F46" s="1">
        <v>34034.404654637321</v>
      </c>
      <c r="G46" s="1">
        <v>8824.4495642026559</v>
      </c>
      <c r="H46" s="1">
        <v>0</v>
      </c>
      <c r="I46" s="1">
        <v>43135.547959752927</v>
      </c>
      <c r="J46" s="1">
        <v>36814.735933951539</v>
      </c>
      <c r="K46" s="1">
        <v>5934.5627562559112</v>
      </c>
      <c r="L46" s="1">
        <v>435.39329581653351</v>
      </c>
      <c r="M46" s="1">
        <v>36735.075146568211</v>
      </c>
      <c r="N46" s="1">
        <v>3222.476215967145</v>
      </c>
      <c r="O46" s="1">
        <v>88.623576536186548</v>
      </c>
      <c r="P46" s="1">
        <v>338.75881291395734</v>
      </c>
      <c r="Q46" s="1">
        <v>0</v>
      </c>
      <c r="R46" s="1">
        <v>499.95235547150708</v>
      </c>
      <c r="S46" s="1">
        <v>0</v>
      </c>
    </row>
    <row r="47" spans="1:19" x14ac:dyDescent="0.3">
      <c r="A47">
        <v>2006</v>
      </c>
      <c r="B47" s="1">
        <v>89516</v>
      </c>
      <c r="C47" s="1">
        <v>0</v>
      </c>
      <c r="D47" s="1">
        <v>107.40553617643749</v>
      </c>
      <c r="E47" s="1">
        <v>245.7184459092324</v>
      </c>
      <c r="F47" s="1">
        <v>6723.3088563807014</v>
      </c>
      <c r="G47" s="1">
        <v>40387.75082410052</v>
      </c>
      <c r="H47" s="1">
        <v>0</v>
      </c>
      <c r="I47" s="1">
        <v>21538.990576405893</v>
      </c>
      <c r="J47" s="1">
        <v>217026.10301673325</v>
      </c>
      <c r="K47" s="1">
        <v>7498.1286565086457</v>
      </c>
      <c r="L47" s="1">
        <v>0</v>
      </c>
      <c r="M47" s="1">
        <v>116934.72827581913</v>
      </c>
      <c r="N47" s="1">
        <v>5776.6671165276803</v>
      </c>
      <c r="O47" s="1">
        <v>0</v>
      </c>
      <c r="P47" s="1">
        <v>686.52396563523143</v>
      </c>
      <c r="Q47" s="1">
        <v>0</v>
      </c>
      <c r="R47" s="1">
        <v>2649.4513247188243</v>
      </c>
      <c r="S47" s="1">
        <v>0</v>
      </c>
    </row>
    <row r="48" spans="1:19" x14ac:dyDescent="0.3">
      <c r="A48">
        <v>2007</v>
      </c>
      <c r="B48" s="1">
        <v>120186</v>
      </c>
      <c r="C48" s="1">
        <v>0</v>
      </c>
      <c r="D48" s="1">
        <v>3792.8079144907856</v>
      </c>
      <c r="E48" s="1">
        <v>660.60320638228347</v>
      </c>
      <c r="F48" s="1">
        <v>13301.406407965638</v>
      </c>
      <c r="G48" s="1">
        <v>67117.104204245596</v>
      </c>
      <c r="H48" s="1">
        <v>0</v>
      </c>
      <c r="I48" s="1">
        <v>21050.126251876827</v>
      </c>
      <c r="J48" s="1">
        <v>171110.99280123066</v>
      </c>
      <c r="K48" s="1">
        <v>0</v>
      </c>
      <c r="L48" s="1">
        <v>0</v>
      </c>
      <c r="M48" s="1">
        <v>87986.593304519745</v>
      </c>
      <c r="N48" s="1">
        <v>576.42425238287979</v>
      </c>
      <c r="O48" s="1">
        <v>0</v>
      </c>
      <c r="P48" s="1">
        <v>454.40078456248523</v>
      </c>
      <c r="Q48" s="1">
        <v>0</v>
      </c>
      <c r="R48" s="1">
        <v>0</v>
      </c>
      <c r="S48" s="1">
        <v>0</v>
      </c>
    </row>
    <row r="49" spans="1:19" x14ac:dyDescent="0.3">
      <c r="A49">
        <v>2008</v>
      </c>
      <c r="B49" s="1">
        <v>105363</v>
      </c>
      <c r="C49" s="1">
        <v>0</v>
      </c>
      <c r="D49" s="1">
        <v>4622.8273110688297</v>
      </c>
      <c r="E49" s="1">
        <v>0</v>
      </c>
      <c r="F49" s="1">
        <v>45644.804992872334</v>
      </c>
      <c r="G49" s="1">
        <v>10102.967222973748</v>
      </c>
      <c r="H49" s="1">
        <v>0</v>
      </c>
      <c r="I49" s="1">
        <v>48444.080681620711</v>
      </c>
      <c r="J49" s="1">
        <v>100679.72061733104</v>
      </c>
      <c r="K49" s="1">
        <v>0</v>
      </c>
      <c r="L49" s="1">
        <v>151.22602061214286</v>
      </c>
      <c r="M49" s="1">
        <v>44642.337187867015</v>
      </c>
      <c r="N49" s="1">
        <v>0</v>
      </c>
      <c r="O49" s="1">
        <v>0</v>
      </c>
      <c r="P49" s="1">
        <v>0</v>
      </c>
      <c r="Q49" s="1">
        <v>0</v>
      </c>
      <c r="R49" s="1">
        <v>276.762590182868</v>
      </c>
      <c r="S49" s="1">
        <v>0</v>
      </c>
    </row>
    <row r="50" spans="1:19" x14ac:dyDescent="0.3">
      <c r="A50">
        <v>2009</v>
      </c>
      <c r="B50" s="1">
        <v>101845</v>
      </c>
      <c r="C50" s="1">
        <v>495.2957035572428</v>
      </c>
      <c r="D50" s="1">
        <v>92.893417011605351</v>
      </c>
      <c r="E50" s="1">
        <v>0</v>
      </c>
      <c r="F50" s="1">
        <v>10784.175654355558</v>
      </c>
      <c r="G50" s="1">
        <v>17550.079197078358</v>
      </c>
      <c r="H50" s="1">
        <v>0</v>
      </c>
      <c r="I50" s="1">
        <v>16451.852341532634</v>
      </c>
      <c r="J50" s="1">
        <v>322751.94360281934</v>
      </c>
      <c r="K50" s="1">
        <v>859.65804723278461</v>
      </c>
      <c r="L50" s="1">
        <v>0</v>
      </c>
      <c r="M50" s="1">
        <v>174311</v>
      </c>
      <c r="N50" s="1">
        <v>12255.401249076442</v>
      </c>
      <c r="O50" s="1">
        <v>0</v>
      </c>
      <c r="P50" s="1">
        <v>107.88500644543218</v>
      </c>
      <c r="Q50" s="1">
        <v>0</v>
      </c>
      <c r="R50" s="1">
        <v>2142.5216003613787</v>
      </c>
      <c r="S50" s="1">
        <v>0</v>
      </c>
    </row>
    <row r="51" spans="1:19" x14ac:dyDescent="0.3">
      <c r="A51">
        <v>2010</v>
      </c>
      <c r="B51" s="1">
        <v>94680</v>
      </c>
      <c r="C51" s="1">
        <v>0</v>
      </c>
      <c r="D51" s="1">
        <v>1872.9242075314426</v>
      </c>
      <c r="E51" s="1">
        <v>0</v>
      </c>
      <c r="F51" s="1">
        <v>13153.71704125117</v>
      </c>
      <c r="G51" s="1">
        <v>26967.072212458788</v>
      </c>
      <c r="H51" s="1">
        <v>0</v>
      </c>
      <c r="I51" s="1">
        <v>23316</v>
      </c>
      <c r="J51" s="1">
        <v>160354</v>
      </c>
      <c r="K51" s="1">
        <v>2046.9190618236073</v>
      </c>
      <c r="L51" s="1">
        <v>0</v>
      </c>
      <c r="M51" s="1">
        <v>80454.307571511599</v>
      </c>
      <c r="N51" s="1">
        <v>5076.2940765900776</v>
      </c>
      <c r="O51" s="1">
        <v>0</v>
      </c>
      <c r="P51" s="1">
        <v>0</v>
      </c>
      <c r="Q51" s="1">
        <v>0</v>
      </c>
      <c r="R51" s="1">
        <v>2781.8564555178832</v>
      </c>
      <c r="S51" s="1">
        <v>0</v>
      </c>
    </row>
    <row r="52" spans="1:19" x14ac:dyDescent="0.3">
      <c r="A52">
        <v>2011</v>
      </c>
      <c r="B52" s="1">
        <v>134642</v>
      </c>
      <c r="C52" s="1">
        <v>0</v>
      </c>
      <c r="D52" s="1">
        <v>832.43849598828774</v>
      </c>
      <c r="E52" s="1">
        <v>0</v>
      </c>
      <c r="F52" s="1">
        <v>8207</v>
      </c>
      <c r="G52" s="1">
        <v>55889</v>
      </c>
      <c r="H52" s="1">
        <v>0</v>
      </c>
      <c r="I52" s="1">
        <v>6723.2027207886422</v>
      </c>
      <c r="J52" s="1">
        <v>142674.79037379377</v>
      </c>
      <c r="K52" s="1">
        <v>161.05367906289092</v>
      </c>
      <c r="L52" s="1">
        <v>0</v>
      </c>
      <c r="M52" s="1">
        <v>121156.60240005332</v>
      </c>
      <c r="N52" s="1">
        <v>842.54702006997184</v>
      </c>
      <c r="O52" s="1">
        <v>0</v>
      </c>
      <c r="P52" s="1">
        <v>647.99583756132461</v>
      </c>
      <c r="Q52" s="1">
        <v>0</v>
      </c>
      <c r="R52" s="1">
        <v>0</v>
      </c>
      <c r="S52" s="1">
        <v>0</v>
      </c>
    </row>
    <row r="53" spans="1:19" x14ac:dyDescent="0.3">
      <c r="A53">
        <v>2012</v>
      </c>
      <c r="B53" s="1">
        <v>148884</v>
      </c>
      <c r="C53" s="1">
        <v>513</v>
      </c>
      <c r="D53" s="1">
        <v>0</v>
      </c>
      <c r="E53" s="1">
        <v>0</v>
      </c>
      <c r="F53" s="1">
        <v>1295.8238152134754</v>
      </c>
      <c r="G53" s="1">
        <v>3255.2414165092259</v>
      </c>
      <c r="H53" s="1">
        <v>0</v>
      </c>
      <c r="I53" s="1">
        <v>1089.2109830547763</v>
      </c>
      <c r="J53" s="1">
        <v>38024.677766875364</v>
      </c>
      <c r="K53" s="1">
        <v>474.82429075264014</v>
      </c>
      <c r="L53" s="1">
        <v>0</v>
      </c>
      <c r="M53" s="1">
        <v>6228.4031419540352</v>
      </c>
      <c r="N53" s="1">
        <v>2774.5723154595798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3">
      <c r="A54">
        <v>2013</v>
      </c>
      <c r="B54" s="1">
        <v>136059</v>
      </c>
      <c r="C54" s="1">
        <v>0</v>
      </c>
      <c r="D54" s="1">
        <v>2435.454318487667</v>
      </c>
      <c r="E54" s="1">
        <v>0</v>
      </c>
      <c r="F54" s="1">
        <v>19532.659937295342</v>
      </c>
      <c r="G54" s="1">
        <v>28978.31206958881</v>
      </c>
      <c r="H54" s="1">
        <v>0</v>
      </c>
      <c r="I54" s="1">
        <v>7887.4724325802308</v>
      </c>
      <c r="J54" s="1">
        <v>193902.99124317462</v>
      </c>
      <c r="K54" s="1">
        <v>2900.559563992113</v>
      </c>
      <c r="L54" s="1">
        <v>0</v>
      </c>
      <c r="M54" s="1">
        <v>82015.113064602352</v>
      </c>
      <c r="N54" s="1">
        <v>5280.2590998400337</v>
      </c>
      <c r="O54" s="1">
        <v>0</v>
      </c>
      <c r="P54" s="1">
        <v>41.630766011562606</v>
      </c>
      <c r="Q54" s="1">
        <v>0</v>
      </c>
      <c r="R54" s="1">
        <v>749.20683629823861</v>
      </c>
      <c r="S54" s="1">
        <v>0</v>
      </c>
    </row>
    <row r="55" spans="1:19" x14ac:dyDescent="0.3">
      <c r="A55">
        <v>2014</v>
      </c>
      <c r="B55" s="1">
        <v>200296</v>
      </c>
      <c r="C55" s="1">
        <v>0</v>
      </c>
      <c r="D55" s="1">
        <v>3520.4382778176687</v>
      </c>
      <c r="E55" s="1">
        <v>0</v>
      </c>
      <c r="F55" s="1">
        <v>41047.789230579103</v>
      </c>
      <c r="G55" s="1">
        <v>33945.819337218651</v>
      </c>
      <c r="H55" s="1">
        <v>0</v>
      </c>
      <c r="I55" s="1">
        <v>28337.200434708611</v>
      </c>
      <c r="J55" s="1">
        <v>158548.29293717799</v>
      </c>
      <c r="K55" s="1">
        <v>0</v>
      </c>
      <c r="L55" s="1">
        <v>0</v>
      </c>
      <c r="M55" s="1">
        <v>35690.909667625652</v>
      </c>
      <c r="N55" s="1">
        <v>390.92908762795759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3">
      <c r="A56">
        <v>2015</v>
      </c>
      <c r="B56" s="1">
        <v>219093</v>
      </c>
      <c r="C56" s="1">
        <v>0</v>
      </c>
      <c r="D56" s="1">
        <v>32496.079516223817</v>
      </c>
      <c r="E56" s="1">
        <v>0</v>
      </c>
      <c r="F56" s="1">
        <v>66627.116205456303</v>
      </c>
      <c r="G56" s="1">
        <v>13719.732675512587</v>
      </c>
      <c r="H56" s="1">
        <v>0</v>
      </c>
      <c r="I56" s="1">
        <v>59984.484044000157</v>
      </c>
      <c r="J56" s="1">
        <v>19082.558198845087</v>
      </c>
      <c r="K56" s="1">
        <v>0</v>
      </c>
      <c r="L56" s="1">
        <v>0</v>
      </c>
      <c r="M56" s="1">
        <v>17165.691199962086</v>
      </c>
      <c r="N56" s="1">
        <v>0</v>
      </c>
      <c r="O56" s="1">
        <v>0</v>
      </c>
      <c r="P56" s="1">
        <v>130.29636991767609</v>
      </c>
      <c r="Q56" s="1">
        <v>0</v>
      </c>
      <c r="R56" s="1">
        <v>132.30755323506003</v>
      </c>
      <c r="S56" s="1">
        <v>0</v>
      </c>
    </row>
    <row r="57" spans="1:19" x14ac:dyDescent="0.3">
      <c r="A57">
        <v>2016</v>
      </c>
      <c r="B57" s="1">
        <v>122585</v>
      </c>
      <c r="C57" s="1">
        <v>0</v>
      </c>
      <c r="D57" s="1">
        <v>62078.039014937531</v>
      </c>
      <c r="E57" s="1">
        <v>0</v>
      </c>
      <c r="F57" s="1">
        <v>94229.550068015451</v>
      </c>
      <c r="G57" s="1">
        <v>37747.976343259339</v>
      </c>
      <c r="H57" s="1">
        <v>0</v>
      </c>
      <c r="I57" s="1">
        <v>86464.662056618647</v>
      </c>
      <c r="J57" s="1">
        <v>158638.96044900976</v>
      </c>
      <c r="K57" s="1">
        <v>436.68855516878523</v>
      </c>
      <c r="L57" s="1">
        <v>0</v>
      </c>
      <c r="M57" s="1">
        <v>70341.426745186094</v>
      </c>
      <c r="N57" s="1">
        <v>3502.4843972248891</v>
      </c>
      <c r="O57" s="1">
        <v>0</v>
      </c>
      <c r="P57" s="1">
        <v>757.85738442555316</v>
      </c>
      <c r="Q57" s="1">
        <v>0</v>
      </c>
      <c r="R57" s="1">
        <v>0</v>
      </c>
      <c r="S57" s="1">
        <v>0</v>
      </c>
    </row>
    <row r="58" spans="1:19" x14ac:dyDescent="0.3">
      <c r="A58">
        <v>2017</v>
      </c>
      <c r="B58" s="1">
        <v>129227</v>
      </c>
      <c r="C58" s="1">
        <v>0</v>
      </c>
      <c r="D58" s="1">
        <v>10237.8946019134</v>
      </c>
      <c r="E58" s="1">
        <v>794.70863847387182</v>
      </c>
      <c r="F58" s="1">
        <v>66292.933633481647</v>
      </c>
      <c r="G58" s="1">
        <v>92705.808164428425</v>
      </c>
      <c r="H58" s="1">
        <v>0</v>
      </c>
      <c r="I58" s="1">
        <v>31669.411017854145</v>
      </c>
      <c r="J58" s="1">
        <v>128508.08242457334</v>
      </c>
      <c r="K58" s="1">
        <v>0</v>
      </c>
      <c r="L58" s="1">
        <v>356.86599911284839</v>
      </c>
      <c r="M58" s="1">
        <v>96578.929261394776</v>
      </c>
      <c r="N58" s="1">
        <v>845.98940788438756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3">
      <c r="A59">
        <v>2018</v>
      </c>
      <c r="B59" s="1">
        <v>201161</v>
      </c>
      <c r="C59" s="1">
        <v>300.73884570610198</v>
      </c>
      <c r="D59" s="1">
        <v>6868.7411633983511</v>
      </c>
      <c r="E59" s="1">
        <v>0</v>
      </c>
      <c r="F59" s="1">
        <v>22968.111934929217</v>
      </c>
      <c r="G59" s="1">
        <v>2393.6732264270031</v>
      </c>
      <c r="H59" s="1">
        <v>0</v>
      </c>
      <c r="I59" s="1">
        <v>16331.402216109707</v>
      </c>
      <c r="J59" s="1">
        <v>39459.781023197036</v>
      </c>
      <c r="K59" s="1">
        <v>103.76051004300317</v>
      </c>
      <c r="L59" s="1">
        <v>0</v>
      </c>
      <c r="M59" s="1">
        <v>1501</v>
      </c>
      <c r="N59" s="1">
        <v>1596</v>
      </c>
      <c r="O59" s="1">
        <v>0</v>
      </c>
      <c r="P59" s="1">
        <v>0</v>
      </c>
      <c r="Q59" s="1">
        <v>0</v>
      </c>
      <c r="R59" s="1">
        <v>0</v>
      </c>
      <c r="S59" s="1"/>
    </row>
    <row r="60" spans="1:19" x14ac:dyDescent="0.3">
      <c r="A60">
        <v>2019</v>
      </c>
      <c r="B60" s="1">
        <v>169627</v>
      </c>
      <c r="C60" s="1">
        <v>0</v>
      </c>
      <c r="D60" s="1">
        <v>8599.3655078525335</v>
      </c>
      <c r="E60" s="1">
        <v>0</v>
      </c>
      <c r="F60" s="1">
        <v>24908.87154400249</v>
      </c>
      <c r="G60" s="1">
        <v>28043.553288903251</v>
      </c>
      <c r="H60" s="1">
        <v>0</v>
      </c>
      <c r="I60" s="1">
        <v>3515</v>
      </c>
      <c r="J60" s="1">
        <v>73536</v>
      </c>
      <c r="K60" s="1">
        <v>173</v>
      </c>
      <c r="L60" s="1">
        <v>0</v>
      </c>
      <c r="M60" s="1">
        <v>16058.729307802872</v>
      </c>
      <c r="N60" s="1">
        <v>951.94454990788927</v>
      </c>
      <c r="O60" s="1">
        <v>0</v>
      </c>
      <c r="P60" s="1"/>
      <c r="Q60" s="1"/>
      <c r="R60" s="1"/>
      <c r="S60" s="1"/>
    </row>
    <row r="61" spans="1:19" x14ac:dyDescent="0.3">
      <c r="A61">
        <v>2020</v>
      </c>
      <c r="B61" s="1">
        <v>137570</v>
      </c>
      <c r="C61" s="1">
        <v>0</v>
      </c>
      <c r="D61" s="1">
        <v>3039.1291324831222</v>
      </c>
      <c r="E61" s="1">
        <v>0</v>
      </c>
      <c r="F61" s="1">
        <v>11789</v>
      </c>
      <c r="G61" s="1">
        <v>10606</v>
      </c>
      <c r="H61" s="1">
        <v>0</v>
      </c>
      <c r="I61" s="1">
        <v>2143.2669690908619</v>
      </c>
      <c r="J61" s="1">
        <v>50186.776461079571</v>
      </c>
      <c r="K61" s="1">
        <v>0</v>
      </c>
      <c r="L61" s="1"/>
      <c r="M61" s="1"/>
      <c r="N61" s="1"/>
      <c r="O61" s="1"/>
      <c r="P61" s="1"/>
      <c r="Q61" s="1"/>
      <c r="R61" s="1"/>
      <c r="S61" s="1"/>
    </row>
    <row r="62" spans="1:19" x14ac:dyDescent="0.3">
      <c r="A62">
        <v>2021</v>
      </c>
      <c r="B62" s="1">
        <v>186632</v>
      </c>
      <c r="C62" s="1">
        <v>0</v>
      </c>
      <c r="D62" s="1">
        <v>899</v>
      </c>
      <c r="E62" s="1">
        <v>0</v>
      </c>
      <c r="F62" s="1">
        <v>1975.3313321188073</v>
      </c>
      <c r="G62" s="1">
        <v>21584.595763993948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">
      <c r="A63">
        <v>2022</v>
      </c>
      <c r="B63" s="1">
        <v>118509</v>
      </c>
      <c r="C63" s="1">
        <v>0</v>
      </c>
      <c r="D63" s="1">
        <v>2236.4042360060516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3">
      <c r="A64">
        <v>2023</v>
      </c>
      <c r="B64">
        <v>100477</v>
      </c>
    </row>
    <row r="65" spans="1:2" x14ac:dyDescent="0.3">
      <c r="A65">
        <v>2024</v>
      </c>
      <c r="B65">
        <v>78504</v>
      </c>
    </row>
    <row r="66" spans="1:2" x14ac:dyDescent="0.3">
      <c r="A66">
        <v>2025</v>
      </c>
      <c r="B66">
        <v>77680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EDC0-9202-4BA2-A921-8D46B9EB569A}">
  <dimension ref="A1:R69"/>
  <sheetViews>
    <sheetView topLeftCell="A7" workbookViewId="0">
      <selection activeCell="T66" sqref="T66"/>
    </sheetView>
  </sheetViews>
  <sheetFormatPr defaultRowHeight="14.4" x14ac:dyDescent="0.3"/>
  <cols>
    <col min="2" max="2" width="10.109375" bestFit="1" customWidth="1"/>
    <col min="3" max="4" width="9.33203125" bestFit="1" customWidth="1"/>
    <col min="5" max="5" width="10.109375" bestFit="1" customWidth="1"/>
    <col min="6" max="6" width="9.33203125" bestFit="1" customWidth="1"/>
    <col min="7" max="7" width="11.6640625" bestFit="1" customWidth="1"/>
    <col min="8" max="9" width="9.33203125" bestFit="1" customWidth="1"/>
    <col min="10" max="11" width="10.109375" bestFit="1" customWidth="1"/>
    <col min="12" max="13" width="9.33203125" bestFit="1" customWidth="1"/>
    <col min="14" max="14" width="10.109375" bestFit="1" customWidth="1"/>
    <col min="15" max="18" width="9.33203125" bestFit="1" customWidth="1"/>
  </cols>
  <sheetData>
    <row r="1" spans="1:18" x14ac:dyDescent="0.3">
      <c r="A1" t="s">
        <v>6</v>
      </c>
    </row>
    <row r="4" spans="1:18" x14ac:dyDescent="0.3">
      <c r="A4" t="s">
        <v>0</v>
      </c>
      <c r="J4" t="s">
        <v>1</v>
      </c>
    </row>
    <row r="5" spans="1:18" x14ac:dyDescent="0.3">
      <c r="A5" t="s">
        <v>2</v>
      </c>
      <c r="B5" t="s">
        <v>3</v>
      </c>
      <c r="C5">
        <v>0.1</v>
      </c>
      <c r="D5">
        <v>0.2</v>
      </c>
      <c r="E5">
        <v>1.1000000000000001</v>
      </c>
      <c r="F5">
        <v>0.3</v>
      </c>
      <c r="G5">
        <v>1.2</v>
      </c>
      <c r="H5">
        <v>2.1</v>
      </c>
      <c r="I5">
        <v>0.4</v>
      </c>
      <c r="J5">
        <v>1.3</v>
      </c>
      <c r="K5">
        <v>2.2000000000000002</v>
      </c>
      <c r="L5">
        <v>3.1</v>
      </c>
      <c r="M5">
        <v>1.4</v>
      </c>
      <c r="N5">
        <v>2.2999999999999998</v>
      </c>
      <c r="O5">
        <v>3.2</v>
      </c>
      <c r="P5">
        <v>2.4</v>
      </c>
      <c r="Q5">
        <v>3.3</v>
      </c>
      <c r="R5">
        <v>3.4</v>
      </c>
    </row>
    <row r="7" spans="1:18" x14ac:dyDescent="0.3">
      <c r="A7">
        <v>1963</v>
      </c>
      <c r="B7" s="1">
        <v>63563</v>
      </c>
      <c r="C7" s="1"/>
      <c r="D7" s="1"/>
      <c r="E7" s="1"/>
      <c r="F7" s="1"/>
      <c r="G7" s="1"/>
      <c r="H7" s="1"/>
      <c r="I7" s="1"/>
      <c r="J7" s="1"/>
      <c r="K7" s="1"/>
      <c r="L7" s="1"/>
      <c r="M7" s="1">
        <v>0</v>
      </c>
      <c r="N7" s="1">
        <v>58666.717845409112</v>
      </c>
      <c r="O7" s="1">
        <v>6268.1981855693375</v>
      </c>
      <c r="P7" s="1">
        <v>0</v>
      </c>
      <c r="Q7" s="1">
        <v>0</v>
      </c>
      <c r="R7" s="1">
        <v>0</v>
      </c>
    </row>
    <row r="8" spans="1:18" x14ac:dyDescent="0.3">
      <c r="A8">
        <v>1964</v>
      </c>
      <c r="B8" s="1">
        <v>36342</v>
      </c>
      <c r="C8" s="1"/>
      <c r="D8" s="1"/>
      <c r="E8" s="1"/>
      <c r="F8" s="1"/>
      <c r="G8" s="1"/>
      <c r="H8" s="1"/>
      <c r="I8" s="1">
        <v>0</v>
      </c>
      <c r="J8" s="1">
        <v>157.7234726688103</v>
      </c>
      <c r="K8" s="1">
        <v>50206.109278666896</v>
      </c>
      <c r="L8" s="1">
        <v>0</v>
      </c>
      <c r="M8" s="1">
        <v>0</v>
      </c>
      <c r="N8" s="1">
        <v>5705.3208724942169</v>
      </c>
      <c r="O8" s="1">
        <v>3375.199636200482</v>
      </c>
      <c r="P8" s="1">
        <v>0</v>
      </c>
      <c r="Q8" s="1">
        <v>0</v>
      </c>
      <c r="R8" s="1">
        <v>0</v>
      </c>
    </row>
    <row r="9" spans="1:18" x14ac:dyDescent="0.3">
      <c r="A9">
        <v>1965</v>
      </c>
      <c r="B9" s="1">
        <v>76456</v>
      </c>
      <c r="C9" s="1"/>
      <c r="D9" s="1"/>
      <c r="E9" s="1"/>
      <c r="F9" s="1">
        <v>0</v>
      </c>
      <c r="G9" s="1">
        <v>157.7234726688103</v>
      </c>
      <c r="H9" s="1">
        <v>3469.9163987138268</v>
      </c>
      <c r="I9" s="1">
        <v>0</v>
      </c>
      <c r="J9" s="1">
        <v>0</v>
      </c>
      <c r="K9" s="1">
        <v>33521.632949266546</v>
      </c>
      <c r="L9" s="1">
        <v>0</v>
      </c>
      <c r="M9" s="1">
        <v>0</v>
      </c>
      <c r="N9" s="1">
        <v>13149.872994968278</v>
      </c>
      <c r="O9" s="1">
        <v>5533.5930168453297</v>
      </c>
      <c r="P9" s="1">
        <v>0</v>
      </c>
      <c r="Q9" s="1">
        <v>0</v>
      </c>
      <c r="R9" s="1">
        <v>0</v>
      </c>
    </row>
    <row r="10" spans="1:18" x14ac:dyDescent="0.3">
      <c r="A10">
        <v>1966</v>
      </c>
      <c r="B10" s="1">
        <v>66057</v>
      </c>
      <c r="C10" s="1"/>
      <c r="D10" s="1">
        <v>0</v>
      </c>
      <c r="E10" s="1">
        <v>315.4469453376206</v>
      </c>
      <c r="F10" s="1">
        <v>0</v>
      </c>
      <c r="G10" s="1">
        <v>1172.6607245256046</v>
      </c>
      <c r="H10" s="1">
        <v>16621.845055211623</v>
      </c>
      <c r="I10" s="1">
        <v>0</v>
      </c>
      <c r="J10" s="1">
        <v>3285.2574841391379</v>
      </c>
      <c r="K10" s="1">
        <v>57849.557453511268</v>
      </c>
      <c r="L10" s="1">
        <v>0</v>
      </c>
      <c r="M10" s="1">
        <v>0</v>
      </c>
      <c r="N10" s="1">
        <v>51108.505102845425</v>
      </c>
      <c r="O10" s="1">
        <v>7030.7900945689935</v>
      </c>
      <c r="P10" s="1">
        <v>0</v>
      </c>
      <c r="Q10" s="1">
        <v>0</v>
      </c>
      <c r="R10" s="1">
        <v>0</v>
      </c>
    </row>
    <row r="11" spans="1:18" x14ac:dyDescent="0.3">
      <c r="A11">
        <v>1967</v>
      </c>
      <c r="B11" s="1">
        <v>227089</v>
      </c>
      <c r="C11" s="1">
        <v>0</v>
      </c>
      <c r="D11" s="1">
        <v>0</v>
      </c>
      <c r="E11" s="1">
        <v>1772.2125117132757</v>
      </c>
      <c r="F11" s="1">
        <v>0</v>
      </c>
      <c r="G11" s="1">
        <v>24013.119011157298</v>
      </c>
      <c r="H11" s="1">
        <v>3338.3158346094947</v>
      </c>
      <c r="I11" s="1">
        <v>0</v>
      </c>
      <c r="J11" s="1">
        <v>16468.958666177667</v>
      </c>
      <c r="K11" s="1">
        <v>78833.728569025043</v>
      </c>
      <c r="L11" s="1">
        <v>0</v>
      </c>
      <c r="M11" s="1">
        <v>0</v>
      </c>
      <c r="N11" s="1">
        <v>23975.828481751782</v>
      </c>
      <c r="O11" s="1">
        <v>0</v>
      </c>
      <c r="P11" s="1">
        <v>0</v>
      </c>
      <c r="Q11" s="1">
        <v>0</v>
      </c>
      <c r="R11" s="1">
        <v>0</v>
      </c>
    </row>
    <row r="12" spans="1:18" x14ac:dyDescent="0.3">
      <c r="A12">
        <v>1968</v>
      </c>
      <c r="B12" s="1">
        <v>220850</v>
      </c>
      <c r="C12" s="1">
        <v>0</v>
      </c>
      <c r="D12" s="1">
        <v>0</v>
      </c>
      <c r="E12" s="1">
        <v>82.824285714285708</v>
      </c>
      <c r="F12" s="1">
        <v>0</v>
      </c>
      <c r="G12" s="1">
        <v>4199.132032817537</v>
      </c>
      <c r="H12" s="1">
        <v>2825.0723935976007</v>
      </c>
      <c r="I12" s="1">
        <v>0</v>
      </c>
      <c r="J12" s="1">
        <v>34463.147645197787</v>
      </c>
      <c r="K12" s="1">
        <v>89549.084732174262</v>
      </c>
      <c r="L12" s="1">
        <v>0</v>
      </c>
      <c r="M12" s="1">
        <v>0</v>
      </c>
      <c r="N12" s="1">
        <v>123052.98639563432</v>
      </c>
      <c r="O12" s="1">
        <v>8492.5518356816792</v>
      </c>
      <c r="P12" s="1">
        <v>0</v>
      </c>
      <c r="Q12" s="1">
        <v>0</v>
      </c>
      <c r="R12" s="1">
        <v>0</v>
      </c>
    </row>
    <row r="13" spans="1:18" x14ac:dyDescent="0.3">
      <c r="A13">
        <v>1969</v>
      </c>
      <c r="B13" s="1">
        <v>71160</v>
      </c>
      <c r="C13" s="1">
        <v>0</v>
      </c>
      <c r="D13" s="1">
        <v>0</v>
      </c>
      <c r="E13" s="1">
        <v>0</v>
      </c>
      <c r="F13" s="1">
        <v>0</v>
      </c>
      <c r="G13" s="1">
        <v>4756.186748981936</v>
      </c>
      <c r="H13" s="1">
        <v>3703.4719812716044</v>
      </c>
      <c r="I13" s="1">
        <v>0</v>
      </c>
      <c r="J13" s="1">
        <v>3704.3645253919794</v>
      </c>
      <c r="K13" s="1">
        <v>78972.313101827982</v>
      </c>
      <c r="L13" s="1">
        <v>0</v>
      </c>
      <c r="M13" s="1">
        <v>0</v>
      </c>
      <c r="N13" s="1">
        <v>13734.260749469267</v>
      </c>
      <c r="O13" s="1">
        <v>652.21804511278197</v>
      </c>
      <c r="P13" s="1">
        <v>0</v>
      </c>
      <c r="Q13" s="1">
        <v>0</v>
      </c>
      <c r="R13" s="1">
        <v>0</v>
      </c>
    </row>
    <row r="14" spans="1:18" x14ac:dyDescent="0.3">
      <c r="A14">
        <v>1970</v>
      </c>
      <c r="B14" s="1">
        <v>33863</v>
      </c>
      <c r="C14" s="1">
        <v>0</v>
      </c>
      <c r="D14" s="1">
        <v>0</v>
      </c>
      <c r="E14" s="1">
        <v>0</v>
      </c>
      <c r="F14" s="1">
        <v>0</v>
      </c>
      <c r="G14" s="1">
        <v>1083.822784897719</v>
      </c>
      <c r="H14" s="1">
        <v>6324.9062658862404</v>
      </c>
      <c r="I14" s="1">
        <v>0</v>
      </c>
      <c r="J14" s="1">
        <v>2052.040666841277</v>
      </c>
      <c r="K14" s="1">
        <v>17543.304837965785</v>
      </c>
      <c r="L14" s="1">
        <v>0</v>
      </c>
      <c r="M14" s="1">
        <v>0</v>
      </c>
      <c r="N14" s="1">
        <v>9151.5762129199393</v>
      </c>
      <c r="O14" s="1">
        <v>3273.5376673365386</v>
      </c>
      <c r="P14" s="1">
        <v>0</v>
      </c>
      <c r="Q14" s="1">
        <v>0</v>
      </c>
      <c r="R14" s="1">
        <v>0</v>
      </c>
    </row>
    <row r="15" spans="1:18" x14ac:dyDescent="0.3">
      <c r="A15">
        <v>1971</v>
      </c>
      <c r="B15" s="1">
        <v>109174</v>
      </c>
      <c r="C15" s="1">
        <v>0</v>
      </c>
      <c r="D15" s="1">
        <v>0</v>
      </c>
      <c r="E15" s="1">
        <v>3251.4683546931565</v>
      </c>
      <c r="F15" s="1">
        <v>0</v>
      </c>
      <c r="G15" s="1">
        <v>35918.503720703658</v>
      </c>
      <c r="H15" s="1">
        <v>18925.372158339793</v>
      </c>
      <c r="I15" s="1">
        <v>0</v>
      </c>
      <c r="J15" s="1">
        <v>26504.908163709188</v>
      </c>
      <c r="K15" s="1">
        <v>184052.99101156127</v>
      </c>
      <c r="L15" s="1">
        <v>0</v>
      </c>
      <c r="M15" s="1">
        <v>0</v>
      </c>
      <c r="N15" s="1">
        <v>16736.318982693992</v>
      </c>
      <c r="O15" s="1">
        <v>3363.9219902584559</v>
      </c>
      <c r="P15" s="1">
        <v>0</v>
      </c>
      <c r="Q15" s="1">
        <v>0</v>
      </c>
      <c r="R15" s="1">
        <v>0</v>
      </c>
    </row>
    <row r="16" spans="1:18" x14ac:dyDescent="0.3">
      <c r="A16">
        <v>1972</v>
      </c>
      <c r="B16" s="1">
        <v>113733</v>
      </c>
      <c r="C16" s="1">
        <v>0</v>
      </c>
      <c r="D16" s="1">
        <v>0</v>
      </c>
      <c r="E16" s="1">
        <v>5080.1889886824156</v>
      </c>
      <c r="F16" s="1">
        <v>0</v>
      </c>
      <c r="G16" s="1">
        <v>121159.61754375107</v>
      </c>
      <c r="H16" s="1">
        <v>6723.2903167094773</v>
      </c>
      <c r="I16" s="1">
        <v>0</v>
      </c>
      <c r="J16" s="1">
        <v>99681.047109347215</v>
      </c>
      <c r="K16" s="1">
        <v>260324.89424281547</v>
      </c>
      <c r="L16" s="1">
        <v>0</v>
      </c>
      <c r="M16" s="1">
        <v>0</v>
      </c>
      <c r="N16" s="1">
        <v>71225.265409600965</v>
      </c>
      <c r="O16" s="1">
        <v>0</v>
      </c>
      <c r="P16" s="1">
        <v>0</v>
      </c>
      <c r="Q16" s="1">
        <v>0</v>
      </c>
      <c r="R16" s="1">
        <v>0</v>
      </c>
    </row>
    <row r="17" spans="1:18" x14ac:dyDescent="0.3">
      <c r="A17">
        <v>1973</v>
      </c>
      <c r="B17" s="1">
        <v>119993</v>
      </c>
      <c r="C17" s="1">
        <v>0</v>
      </c>
      <c r="D17" s="1">
        <v>0</v>
      </c>
      <c r="E17" s="1">
        <v>985.64361410655385</v>
      </c>
      <c r="F17" s="1">
        <v>1394.6932485578329</v>
      </c>
      <c r="G17" s="1">
        <v>79993.010335863582</v>
      </c>
      <c r="H17" s="1">
        <v>7548.0017359319545</v>
      </c>
      <c r="I17" s="1">
        <v>0</v>
      </c>
      <c r="J17" s="1">
        <v>82531.863941210409</v>
      </c>
      <c r="K17" s="1">
        <v>110905.65730567649</v>
      </c>
      <c r="L17" s="1">
        <v>0</v>
      </c>
      <c r="M17" s="1">
        <v>0</v>
      </c>
      <c r="N17" s="1">
        <v>45469.031886803277</v>
      </c>
      <c r="O17" s="1">
        <v>1393.2771022570985</v>
      </c>
      <c r="P17" s="1">
        <v>0</v>
      </c>
      <c r="Q17" s="1">
        <v>0</v>
      </c>
      <c r="R17" s="1">
        <v>0</v>
      </c>
    </row>
    <row r="18" spans="1:18" x14ac:dyDescent="0.3">
      <c r="A18">
        <v>1974</v>
      </c>
      <c r="B18" s="1">
        <v>181631</v>
      </c>
      <c r="C18" s="1">
        <v>0</v>
      </c>
      <c r="D18" s="1">
        <v>0</v>
      </c>
      <c r="E18" s="1">
        <v>3363.9219902584559</v>
      </c>
      <c r="F18" s="1">
        <v>0</v>
      </c>
      <c r="G18" s="1">
        <v>46280.839486225777</v>
      </c>
      <c r="H18" s="1">
        <v>0</v>
      </c>
      <c r="I18" s="1">
        <v>0</v>
      </c>
      <c r="J18" s="1">
        <v>45109.255674954336</v>
      </c>
      <c r="K18" s="1">
        <v>129000.33927915129</v>
      </c>
      <c r="L18" s="1">
        <v>0</v>
      </c>
      <c r="M18" s="1">
        <v>0</v>
      </c>
      <c r="N18" s="1">
        <v>221923.28865765035</v>
      </c>
      <c r="O18" s="1">
        <v>3892.2061741862531</v>
      </c>
      <c r="P18" s="1">
        <v>0</v>
      </c>
      <c r="Q18" s="1">
        <v>0</v>
      </c>
      <c r="R18" s="1">
        <v>0</v>
      </c>
    </row>
    <row r="19" spans="1:18" x14ac:dyDescent="0.3">
      <c r="A19">
        <v>1975</v>
      </c>
      <c r="B19" s="1">
        <v>94517</v>
      </c>
      <c r="C19" s="1">
        <v>0</v>
      </c>
      <c r="D19" s="1">
        <v>0</v>
      </c>
      <c r="E19" s="1">
        <v>0</v>
      </c>
      <c r="F19" s="1">
        <v>1393.2771022570985</v>
      </c>
      <c r="G19" s="1">
        <v>10981.604627178533</v>
      </c>
      <c r="H19" s="1">
        <v>14989.185785548467</v>
      </c>
      <c r="I19" s="1">
        <v>0</v>
      </c>
      <c r="J19" s="1">
        <v>30949.79275768411</v>
      </c>
      <c r="K19" s="1">
        <v>308250.62062166055</v>
      </c>
      <c r="L19" s="1">
        <v>0</v>
      </c>
      <c r="M19" s="1">
        <v>0</v>
      </c>
      <c r="N19" s="1">
        <v>96141.2862859257</v>
      </c>
      <c r="O19" s="1">
        <v>857.70779065313161</v>
      </c>
      <c r="P19" s="1">
        <v>0</v>
      </c>
      <c r="Q19" s="1">
        <v>0</v>
      </c>
      <c r="R19" s="1">
        <v>0</v>
      </c>
    </row>
    <row r="20" spans="1:18" x14ac:dyDescent="0.3">
      <c r="A20">
        <v>1976</v>
      </c>
      <c r="B20" s="1">
        <v>219047</v>
      </c>
      <c r="C20" s="1">
        <v>0</v>
      </c>
      <c r="D20" s="1">
        <v>0</v>
      </c>
      <c r="E20" s="1">
        <v>5835.3026103919883</v>
      </c>
      <c r="F20" s="1">
        <v>3854.6348470250696</v>
      </c>
      <c r="G20" s="1">
        <v>405330.34701334976</v>
      </c>
      <c r="H20" s="1">
        <v>8408.0658259627598</v>
      </c>
      <c r="I20" s="1">
        <v>0</v>
      </c>
      <c r="J20" s="1">
        <v>164495.28974825531</v>
      </c>
      <c r="K20" s="1">
        <v>187009.3202238502</v>
      </c>
      <c r="L20" s="1">
        <v>0</v>
      </c>
      <c r="M20" s="1">
        <v>0</v>
      </c>
      <c r="N20" s="1">
        <v>61395.211819000753</v>
      </c>
      <c r="O20" s="1">
        <v>0</v>
      </c>
      <c r="P20" s="1">
        <v>0</v>
      </c>
      <c r="Q20" s="1">
        <v>0</v>
      </c>
      <c r="R20" s="1">
        <v>0</v>
      </c>
    </row>
    <row r="21" spans="1:18" x14ac:dyDescent="0.3">
      <c r="A21">
        <v>1977</v>
      </c>
      <c r="B21" s="1">
        <v>306982</v>
      </c>
      <c r="C21" s="1">
        <v>0</v>
      </c>
      <c r="D21" s="1">
        <v>0</v>
      </c>
      <c r="E21" s="1">
        <v>0</v>
      </c>
      <c r="F21" s="1">
        <v>0</v>
      </c>
      <c r="G21" s="1">
        <v>5060.067699259248</v>
      </c>
      <c r="H21" s="1">
        <v>3430.8311626125264</v>
      </c>
      <c r="I21" s="1">
        <v>0</v>
      </c>
      <c r="J21" s="1">
        <v>18656.257172722202</v>
      </c>
      <c r="K21" s="1">
        <v>170721.06365550123</v>
      </c>
      <c r="L21" s="1">
        <v>0</v>
      </c>
      <c r="M21" s="1">
        <v>0</v>
      </c>
      <c r="N21" s="1">
        <v>85540.898899821492</v>
      </c>
      <c r="O21" s="1">
        <v>3940.3496437382423</v>
      </c>
      <c r="P21" s="1">
        <v>0</v>
      </c>
      <c r="Q21" s="1">
        <v>0</v>
      </c>
      <c r="R21" s="1">
        <v>0</v>
      </c>
    </row>
    <row r="22" spans="1:18" x14ac:dyDescent="0.3">
      <c r="A22">
        <v>1978</v>
      </c>
      <c r="B22" s="1">
        <v>132864</v>
      </c>
      <c r="C22" s="1">
        <v>0</v>
      </c>
      <c r="D22" s="1">
        <v>0</v>
      </c>
      <c r="E22" s="1">
        <v>0</v>
      </c>
      <c r="F22" s="1">
        <v>0</v>
      </c>
      <c r="G22" s="1">
        <v>1556.4490437515358</v>
      </c>
      <c r="H22" s="1">
        <v>15799.245367128351</v>
      </c>
      <c r="I22" s="1">
        <v>0</v>
      </c>
      <c r="J22" s="1">
        <v>14937.359743090205</v>
      </c>
      <c r="K22" s="1">
        <v>45081.1887302205</v>
      </c>
      <c r="L22" s="1">
        <v>0</v>
      </c>
      <c r="M22" s="1">
        <v>0</v>
      </c>
      <c r="N22" s="1">
        <v>42151.32717283172</v>
      </c>
      <c r="O22" s="1">
        <v>2747.1406427016409</v>
      </c>
      <c r="P22" s="1">
        <v>0</v>
      </c>
      <c r="Q22" s="1">
        <v>0</v>
      </c>
      <c r="R22" s="1">
        <v>0</v>
      </c>
    </row>
    <row r="23" spans="1:18" x14ac:dyDescent="0.3">
      <c r="A23">
        <v>1979</v>
      </c>
      <c r="B23" s="1">
        <v>222270</v>
      </c>
      <c r="C23" s="1">
        <v>0</v>
      </c>
      <c r="D23" s="1">
        <v>0</v>
      </c>
      <c r="E23" s="1">
        <v>3624.6706513215081</v>
      </c>
      <c r="F23" s="1">
        <v>441.04127847585755</v>
      </c>
      <c r="G23" s="1">
        <v>16345.349768410326</v>
      </c>
      <c r="H23" s="1">
        <v>18351.801918460042</v>
      </c>
      <c r="I23" s="1">
        <v>0</v>
      </c>
      <c r="J23" s="1">
        <v>40957.693191822502</v>
      </c>
      <c r="K23" s="1">
        <v>131538.50156769232</v>
      </c>
      <c r="L23" s="1">
        <v>0</v>
      </c>
      <c r="M23" s="1">
        <v>0</v>
      </c>
      <c r="N23" s="1">
        <v>41814.594682485527</v>
      </c>
      <c r="O23" s="1">
        <v>1437.5527798333519</v>
      </c>
      <c r="P23" s="1">
        <v>0</v>
      </c>
      <c r="Q23" s="1">
        <v>0</v>
      </c>
      <c r="R23" s="1">
        <v>0</v>
      </c>
    </row>
    <row r="24" spans="1:18" x14ac:dyDescent="0.3">
      <c r="A24">
        <v>1980</v>
      </c>
      <c r="B24" s="1">
        <v>774328</v>
      </c>
      <c r="C24" s="1">
        <v>0</v>
      </c>
      <c r="D24" s="1">
        <v>0</v>
      </c>
      <c r="E24" s="1">
        <v>11779.71553513889</v>
      </c>
      <c r="F24" s="1">
        <v>13347.326548085097</v>
      </c>
      <c r="G24" s="1">
        <v>402760.73555602686</v>
      </c>
      <c r="H24" s="1">
        <v>24781.273753794547</v>
      </c>
      <c r="I24" s="1">
        <v>0</v>
      </c>
      <c r="J24" s="1">
        <v>232583.42110680201</v>
      </c>
      <c r="K24" s="1">
        <v>305082.86539783672</v>
      </c>
      <c r="L24" s="1">
        <v>0</v>
      </c>
      <c r="M24" s="1">
        <v>0</v>
      </c>
      <c r="N24" s="1">
        <v>159439.6108495259</v>
      </c>
      <c r="O24" s="1">
        <v>2762.2942919196721</v>
      </c>
      <c r="P24" s="1">
        <v>0</v>
      </c>
      <c r="Q24" s="1">
        <v>0</v>
      </c>
      <c r="R24" s="1">
        <v>0</v>
      </c>
    </row>
    <row r="25" spans="1:18" x14ac:dyDescent="0.3">
      <c r="A25">
        <v>1981</v>
      </c>
      <c r="B25" s="1">
        <v>279200</v>
      </c>
      <c r="C25" s="1">
        <v>0</v>
      </c>
      <c r="D25" s="1">
        <v>0</v>
      </c>
      <c r="E25" s="1">
        <v>17149.140955074949</v>
      </c>
      <c r="F25" s="1">
        <v>0</v>
      </c>
      <c r="G25" s="1">
        <v>310783.93454096542</v>
      </c>
      <c r="H25" s="1">
        <v>7449.8050362062286</v>
      </c>
      <c r="I25" s="1">
        <v>0</v>
      </c>
      <c r="J25" s="1">
        <v>230888.86995615382</v>
      </c>
      <c r="K25" s="1">
        <v>328621.9882201674</v>
      </c>
      <c r="L25" s="1">
        <v>0</v>
      </c>
      <c r="M25" s="1">
        <v>0</v>
      </c>
      <c r="N25" s="1">
        <v>168527.0911564359</v>
      </c>
      <c r="O25" s="1">
        <v>28563.609815606451</v>
      </c>
      <c r="P25" s="1">
        <v>0</v>
      </c>
      <c r="Q25" s="1">
        <v>0</v>
      </c>
      <c r="R25" s="1">
        <v>0</v>
      </c>
    </row>
    <row r="26" spans="1:18" x14ac:dyDescent="0.3">
      <c r="A26">
        <v>1982</v>
      </c>
      <c r="B26" s="1">
        <v>169678</v>
      </c>
      <c r="C26" s="1">
        <v>0</v>
      </c>
      <c r="D26" s="1">
        <v>0</v>
      </c>
      <c r="E26" s="1">
        <v>6857.1512496309797</v>
      </c>
      <c r="F26" s="1">
        <v>7499.8811943896435</v>
      </c>
      <c r="G26" s="1">
        <v>1626.1671302033526</v>
      </c>
      <c r="H26" s="1">
        <v>2595.7439740437098</v>
      </c>
      <c r="I26" s="1">
        <v>0</v>
      </c>
      <c r="J26" s="1">
        <v>16350.746534850372</v>
      </c>
      <c r="K26" s="1">
        <v>123666.84009841557</v>
      </c>
      <c r="L26" s="1">
        <v>0</v>
      </c>
      <c r="M26" s="1">
        <v>0</v>
      </c>
      <c r="N26" s="1">
        <v>77128.560429181525</v>
      </c>
      <c r="O26" s="1">
        <v>4751.1485644560462</v>
      </c>
      <c r="P26" s="1">
        <v>0</v>
      </c>
      <c r="Q26" s="1">
        <v>0</v>
      </c>
      <c r="R26" s="1">
        <v>0</v>
      </c>
    </row>
    <row r="27" spans="1:18" x14ac:dyDescent="0.3">
      <c r="A27">
        <v>1983</v>
      </c>
      <c r="B27" s="1">
        <v>171415</v>
      </c>
      <c r="C27" s="1">
        <v>0</v>
      </c>
      <c r="D27" s="1">
        <v>0</v>
      </c>
      <c r="E27" s="1">
        <v>548.14995698371899</v>
      </c>
      <c r="F27" s="1">
        <v>1170.7029797123282</v>
      </c>
      <c r="G27" s="1">
        <v>20198.229083685714</v>
      </c>
      <c r="H27" s="1">
        <v>15116.454209298106</v>
      </c>
      <c r="I27" s="1">
        <v>0</v>
      </c>
      <c r="J27" s="1">
        <v>72230.704774731581</v>
      </c>
      <c r="K27" s="1">
        <v>168055.49314226446</v>
      </c>
      <c r="L27" s="1">
        <v>0</v>
      </c>
      <c r="M27" s="1">
        <v>0</v>
      </c>
      <c r="N27" s="1">
        <v>104765</v>
      </c>
      <c r="O27" s="1">
        <v>1148</v>
      </c>
      <c r="P27" s="1">
        <v>0</v>
      </c>
      <c r="Q27" s="1">
        <v>0</v>
      </c>
      <c r="R27" s="1">
        <v>0</v>
      </c>
    </row>
    <row r="28" spans="1:18" x14ac:dyDescent="0.3">
      <c r="A28">
        <v>1984</v>
      </c>
      <c r="B28" s="1">
        <v>283215</v>
      </c>
      <c r="C28" s="1">
        <v>0</v>
      </c>
      <c r="D28" s="1">
        <v>0</v>
      </c>
      <c r="E28" s="1">
        <v>7778.714326221163</v>
      </c>
      <c r="F28" s="1">
        <v>3311.2061344858303</v>
      </c>
      <c r="G28" s="1">
        <v>138184.93675705479</v>
      </c>
      <c r="H28" s="1">
        <v>78899.325017491181</v>
      </c>
      <c r="I28" s="1">
        <v>0</v>
      </c>
      <c r="J28" s="1">
        <v>72319</v>
      </c>
      <c r="K28" s="1">
        <v>197026</v>
      </c>
      <c r="L28" s="1">
        <v>0</v>
      </c>
      <c r="M28" s="1">
        <v>0</v>
      </c>
      <c r="N28" s="1">
        <v>103450</v>
      </c>
      <c r="O28" s="1">
        <v>3347</v>
      </c>
      <c r="P28" s="1">
        <v>0</v>
      </c>
      <c r="Q28" s="1">
        <v>0</v>
      </c>
      <c r="R28" s="1">
        <v>0</v>
      </c>
    </row>
    <row r="29" spans="1:18" x14ac:dyDescent="0.3">
      <c r="A29">
        <v>1985</v>
      </c>
      <c r="B29" s="1">
        <v>388759</v>
      </c>
      <c r="C29" s="1">
        <v>0</v>
      </c>
      <c r="D29" s="1">
        <v>0</v>
      </c>
      <c r="E29" s="1">
        <v>61345.063774686532</v>
      </c>
      <c r="F29" s="1">
        <v>3903</v>
      </c>
      <c r="G29" s="1">
        <v>365489</v>
      </c>
      <c r="H29" s="1">
        <v>18971</v>
      </c>
      <c r="I29" s="1">
        <v>0</v>
      </c>
      <c r="J29" s="1">
        <v>589731</v>
      </c>
      <c r="K29" s="1">
        <v>513314</v>
      </c>
      <c r="L29" s="1">
        <v>0</v>
      </c>
      <c r="M29" s="1">
        <v>0</v>
      </c>
      <c r="N29" s="1">
        <v>229750</v>
      </c>
      <c r="O29" s="1">
        <v>4276</v>
      </c>
      <c r="P29" s="1">
        <v>0</v>
      </c>
      <c r="Q29" s="1">
        <v>0</v>
      </c>
      <c r="R29" s="1">
        <v>0</v>
      </c>
    </row>
    <row r="30" spans="1:18" x14ac:dyDescent="0.3">
      <c r="A30">
        <v>1986</v>
      </c>
      <c r="B30" s="1">
        <v>318135</v>
      </c>
      <c r="C30" s="1">
        <v>0</v>
      </c>
      <c r="D30" s="1">
        <v>0</v>
      </c>
      <c r="E30" s="1">
        <v>4480</v>
      </c>
      <c r="F30" s="1">
        <v>38326</v>
      </c>
      <c r="G30" s="1">
        <v>571371</v>
      </c>
      <c r="H30" s="1">
        <v>6489</v>
      </c>
      <c r="I30" s="1">
        <v>0</v>
      </c>
      <c r="J30" s="1">
        <v>506463</v>
      </c>
      <c r="K30" s="1">
        <v>365644</v>
      </c>
      <c r="L30" s="1">
        <v>0</v>
      </c>
      <c r="M30" s="1">
        <v>0</v>
      </c>
      <c r="N30" s="1">
        <v>231471</v>
      </c>
      <c r="O30" s="1">
        <v>5967</v>
      </c>
      <c r="P30" s="1">
        <v>0</v>
      </c>
      <c r="Q30" s="1">
        <v>0</v>
      </c>
      <c r="R30" s="1">
        <v>0</v>
      </c>
    </row>
    <row r="31" spans="1:18" x14ac:dyDescent="0.3">
      <c r="A31">
        <v>1987</v>
      </c>
      <c r="B31" s="1">
        <v>261913</v>
      </c>
      <c r="C31" s="1">
        <v>0</v>
      </c>
      <c r="D31" s="1">
        <v>0</v>
      </c>
      <c r="E31" s="1">
        <v>12991</v>
      </c>
      <c r="F31" s="1">
        <v>15380</v>
      </c>
      <c r="G31" s="1">
        <v>173341</v>
      </c>
      <c r="H31" s="1">
        <v>13602</v>
      </c>
      <c r="I31" s="1">
        <v>0</v>
      </c>
      <c r="J31" s="1">
        <v>103512</v>
      </c>
      <c r="K31" s="1">
        <v>317142</v>
      </c>
      <c r="L31" s="1">
        <v>0</v>
      </c>
      <c r="M31" s="1">
        <v>0</v>
      </c>
      <c r="N31" s="1">
        <v>341728</v>
      </c>
      <c r="O31" s="1">
        <v>32807</v>
      </c>
      <c r="P31" s="1">
        <v>0</v>
      </c>
      <c r="Q31" s="1">
        <v>5063</v>
      </c>
      <c r="R31" s="1">
        <v>0</v>
      </c>
    </row>
    <row r="32" spans="1:18" x14ac:dyDescent="0.3">
      <c r="A32">
        <v>1988</v>
      </c>
      <c r="B32" s="1">
        <v>291774</v>
      </c>
      <c r="C32" s="1">
        <v>0</v>
      </c>
      <c r="D32" s="1">
        <v>0</v>
      </c>
      <c r="E32" s="1">
        <v>2822</v>
      </c>
      <c r="F32" s="1">
        <v>3351</v>
      </c>
      <c r="G32" s="1">
        <v>81584</v>
      </c>
      <c r="H32" s="1">
        <v>2832</v>
      </c>
      <c r="I32" s="1">
        <v>0</v>
      </c>
      <c r="J32" s="1">
        <v>62159</v>
      </c>
      <c r="K32" s="1">
        <v>126124</v>
      </c>
      <c r="L32" s="1">
        <v>0</v>
      </c>
      <c r="M32" s="1">
        <v>0</v>
      </c>
      <c r="N32" s="1">
        <v>27783</v>
      </c>
      <c r="O32" s="1">
        <v>10655</v>
      </c>
      <c r="P32" s="1">
        <v>0</v>
      </c>
      <c r="Q32" s="1">
        <v>8225</v>
      </c>
      <c r="R32" s="1">
        <v>0</v>
      </c>
    </row>
    <row r="33" spans="1:18" x14ac:dyDescent="0.3">
      <c r="A33">
        <v>1989</v>
      </c>
      <c r="B33" s="1">
        <v>768101</v>
      </c>
      <c r="C33" s="1">
        <v>0</v>
      </c>
      <c r="D33" s="1">
        <v>0</v>
      </c>
      <c r="E33" s="1">
        <v>2571</v>
      </c>
      <c r="F33" s="1">
        <v>5565</v>
      </c>
      <c r="G33" s="1">
        <v>26297</v>
      </c>
      <c r="H33" s="1">
        <v>29189</v>
      </c>
      <c r="I33" s="1">
        <v>0</v>
      </c>
      <c r="J33" s="1">
        <v>18318</v>
      </c>
      <c r="K33" s="1">
        <v>310379</v>
      </c>
      <c r="L33" s="1">
        <v>0</v>
      </c>
      <c r="M33" s="1">
        <v>0</v>
      </c>
      <c r="N33" s="1">
        <v>254557</v>
      </c>
      <c r="O33" s="1">
        <v>59553</v>
      </c>
      <c r="P33" s="1">
        <v>0</v>
      </c>
      <c r="Q33" s="1">
        <v>46238</v>
      </c>
      <c r="R33" s="1">
        <v>0</v>
      </c>
    </row>
    <row r="34" spans="1:18" x14ac:dyDescent="0.3">
      <c r="A34">
        <v>1990</v>
      </c>
      <c r="B34" s="1">
        <v>371282</v>
      </c>
      <c r="C34" s="1">
        <v>0</v>
      </c>
      <c r="D34" s="1">
        <v>0</v>
      </c>
      <c r="E34" s="1">
        <v>1028</v>
      </c>
      <c r="F34" s="1">
        <v>8047</v>
      </c>
      <c r="G34" s="1">
        <v>3618</v>
      </c>
      <c r="H34" s="1">
        <v>14638</v>
      </c>
      <c r="I34" s="1">
        <v>0</v>
      </c>
      <c r="J34" s="1">
        <v>59035</v>
      </c>
      <c r="K34" s="1">
        <v>295167</v>
      </c>
      <c r="L34" s="1">
        <v>0</v>
      </c>
      <c r="M34" s="1">
        <v>0</v>
      </c>
      <c r="N34" s="1">
        <v>202600</v>
      </c>
      <c r="O34" s="1">
        <v>16202</v>
      </c>
      <c r="P34" s="1">
        <v>0</v>
      </c>
      <c r="Q34" s="1">
        <v>102</v>
      </c>
      <c r="R34" s="1">
        <v>38</v>
      </c>
    </row>
    <row r="35" spans="1:18" x14ac:dyDescent="0.3">
      <c r="A35">
        <v>1991</v>
      </c>
      <c r="B35" s="1">
        <v>384859</v>
      </c>
      <c r="C35" s="1">
        <v>0</v>
      </c>
      <c r="D35" s="1">
        <v>640</v>
      </c>
      <c r="E35" s="1">
        <v>22371</v>
      </c>
      <c r="F35" s="1">
        <v>17118</v>
      </c>
      <c r="G35" s="1">
        <v>145925</v>
      </c>
      <c r="H35" s="1">
        <v>36123</v>
      </c>
      <c r="I35" s="1">
        <v>0</v>
      </c>
      <c r="J35" s="1">
        <v>393249</v>
      </c>
      <c r="K35" s="1">
        <v>482187</v>
      </c>
      <c r="L35" s="1">
        <v>0</v>
      </c>
      <c r="M35" s="1">
        <v>19</v>
      </c>
      <c r="N35" s="1">
        <v>158923</v>
      </c>
      <c r="O35" s="1">
        <v>5779</v>
      </c>
      <c r="P35" s="1">
        <v>64</v>
      </c>
      <c r="Q35" s="1">
        <v>2796</v>
      </c>
      <c r="R35" s="1">
        <v>0</v>
      </c>
    </row>
    <row r="36" spans="1:18" x14ac:dyDescent="0.3">
      <c r="A36">
        <v>1992</v>
      </c>
      <c r="B36" s="1">
        <v>344184</v>
      </c>
      <c r="C36" s="1">
        <v>0</v>
      </c>
      <c r="D36" s="1">
        <v>4591</v>
      </c>
      <c r="E36" s="1">
        <v>2578</v>
      </c>
      <c r="F36" s="1">
        <v>9900</v>
      </c>
      <c r="G36" s="1">
        <v>65889</v>
      </c>
      <c r="H36" s="1">
        <v>24694</v>
      </c>
      <c r="I36" s="1">
        <v>205</v>
      </c>
      <c r="J36" s="1">
        <v>10135</v>
      </c>
      <c r="K36" s="1">
        <v>200817</v>
      </c>
      <c r="L36" s="1">
        <v>2188</v>
      </c>
      <c r="M36" s="1">
        <v>2685</v>
      </c>
      <c r="N36" s="1">
        <v>230460</v>
      </c>
      <c r="O36" s="1">
        <v>19788</v>
      </c>
      <c r="P36" s="1">
        <v>1982.9627475753555</v>
      </c>
      <c r="Q36" s="1">
        <v>6009.5448948875646</v>
      </c>
      <c r="R36" s="1">
        <v>112</v>
      </c>
    </row>
    <row r="37" spans="1:18" x14ac:dyDescent="0.3">
      <c r="A37">
        <v>1993</v>
      </c>
      <c r="B37" s="1">
        <v>286170</v>
      </c>
      <c r="C37" s="1">
        <v>0</v>
      </c>
      <c r="D37" s="1">
        <v>0</v>
      </c>
      <c r="E37" s="1">
        <v>3093</v>
      </c>
      <c r="F37" s="1">
        <v>3678</v>
      </c>
      <c r="G37" s="1">
        <v>2504</v>
      </c>
      <c r="H37" s="1">
        <v>16283</v>
      </c>
      <c r="I37" s="1">
        <v>400</v>
      </c>
      <c r="J37" s="1">
        <v>176539</v>
      </c>
      <c r="K37" s="1">
        <v>409718</v>
      </c>
      <c r="L37" s="1">
        <v>516</v>
      </c>
      <c r="M37" s="1">
        <v>8075.2590912666737</v>
      </c>
      <c r="N37" s="1">
        <v>138503.68082985998</v>
      </c>
      <c r="O37" s="1">
        <v>7590.9613586220039</v>
      </c>
      <c r="P37" s="1">
        <v>344</v>
      </c>
      <c r="Q37" s="1">
        <v>5425.9</v>
      </c>
      <c r="R37" s="1">
        <v>0</v>
      </c>
    </row>
    <row r="38" spans="1:18" x14ac:dyDescent="0.3">
      <c r="A38">
        <v>1994</v>
      </c>
      <c r="B38" s="1">
        <v>380181</v>
      </c>
      <c r="C38" s="1">
        <v>0</v>
      </c>
      <c r="D38" s="1">
        <v>465</v>
      </c>
      <c r="E38" s="1">
        <v>42711</v>
      </c>
      <c r="F38" s="1">
        <v>7275</v>
      </c>
      <c r="G38" s="1">
        <v>555246</v>
      </c>
      <c r="H38" s="1">
        <v>35908</v>
      </c>
      <c r="I38" s="1">
        <v>17036.177177567326</v>
      </c>
      <c r="J38" s="1">
        <v>338727.96704339562</v>
      </c>
      <c r="K38" s="1">
        <v>344937.0341150891</v>
      </c>
      <c r="L38" s="1">
        <v>546.05299153289343</v>
      </c>
      <c r="M38" s="1">
        <v>78.7</v>
      </c>
      <c r="N38" s="1">
        <v>102628.2</v>
      </c>
      <c r="O38" s="1">
        <v>7223.8</v>
      </c>
      <c r="P38" s="1">
        <v>400.84303839999995</v>
      </c>
      <c r="Q38" s="1">
        <v>1736.9921392000001</v>
      </c>
      <c r="R38" s="1">
        <v>0</v>
      </c>
    </row>
    <row r="39" spans="1:18" x14ac:dyDescent="0.3">
      <c r="A39">
        <v>1995</v>
      </c>
      <c r="B39" s="1">
        <v>317832</v>
      </c>
      <c r="C39" s="1">
        <v>0</v>
      </c>
      <c r="D39" s="1">
        <v>0</v>
      </c>
      <c r="E39" s="1">
        <v>4711</v>
      </c>
      <c r="F39" s="1">
        <v>4707.1428210082486</v>
      </c>
      <c r="G39" s="1">
        <v>101292.30081274937</v>
      </c>
      <c r="H39" s="1">
        <v>18181.237851869566</v>
      </c>
      <c r="I39" s="1">
        <v>516</v>
      </c>
      <c r="J39" s="1">
        <v>53758.5</v>
      </c>
      <c r="K39" s="1">
        <v>227821.5</v>
      </c>
      <c r="L39" s="1">
        <v>3185.7</v>
      </c>
      <c r="M39" s="1">
        <v>0</v>
      </c>
      <c r="N39" s="1">
        <v>240294.23754880001</v>
      </c>
      <c r="O39" s="1">
        <v>22067.935771199998</v>
      </c>
      <c r="P39" s="1">
        <v>1125.2798</v>
      </c>
      <c r="Q39" s="1">
        <v>6134.5434000000005</v>
      </c>
      <c r="R39" s="1">
        <v>0</v>
      </c>
    </row>
    <row r="40" spans="1:18" x14ac:dyDescent="0.3">
      <c r="A40">
        <v>1996</v>
      </c>
      <c r="B40" s="1">
        <v>337155</v>
      </c>
      <c r="C40" s="1">
        <v>0</v>
      </c>
      <c r="D40" s="1">
        <v>268.6099894437819</v>
      </c>
      <c r="E40" s="1">
        <v>1770.1452597128914</v>
      </c>
      <c r="F40" s="1">
        <v>17050.099999999999</v>
      </c>
      <c r="G40" s="1">
        <v>16902.099999999999</v>
      </c>
      <c r="H40" s="1">
        <v>8589.2000000000007</v>
      </c>
      <c r="I40" s="1">
        <v>331.60807999999997</v>
      </c>
      <c r="J40" s="1">
        <v>93851.466392000002</v>
      </c>
      <c r="K40" s="1">
        <v>198161.15686079999</v>
      </c>
      <c r="L40" s="1">
        <v>363.84303839999995</v>
      </c>
      <c r="M40" s="1">
        <v>0</v>
      </c>
      <c r="N40" s="1">
        <v>143934.40987</v>
      </c>
      <c r="O40" s="1">
        <v>801.67130000000009</v>
      </c>
      <c r="P40" s="1">
        <v>290.67532</v>
      </c>
      <c r="Q40" s="1">
        <v>243.61580000000001</v>
      </c>
      <c r="R40" s="1">
        <v>0</v>
      </c>
    </row>
    <row r="41" spans="1:18" x14ac:dyDescent="0.3">
      <c r="A41">
        <v>1997</v>
      </c>
      <c r="B41" s="1">
        <v>308214</v>
      </c>
      <c r="C41" s="1">
        <v>0</v>
      </c>
      <c r="D41" s="1">
        <v>4.8</v>
      </c>
      <c r="E41" s="1">
        <v>1250</v>
      </c>
      <c r="F41" s="1">
        <v>4809.5799951999998</v>
      </c>
      <c r="G41" s="1">
        <v>14447.1159008</v>
      </c>
      <c r="H41" s="1">
        <v>5395.4131135999996</v>
      </c>
      <c r="I41" s="1">
        <v>597.4973</v>
      </c>
      <c r="J41" s="1">
        <v>11767.31133</v>
      </c>
      <c r="K41" s="1">
        <v>34814.357599999996</v>
      </c>
      <c r="L41" s="1">
        <v>330.09362999999996</v>
      </c>
      <c r="M41" s="1">
        <v>0</v>
      </c>
      <c r="N41" s="1">
        <v>16169.1284</v>
      </c>
      <c r="O41" s="1">
        <v>727.41535999999996</v>
      </c>
      <c r="P41" s="1">
        <v>0</v>
      </c>
      <c r="Q41" s="1">
        <v>1489.6685400000001</v>
      </c>
      <c r="R41" s="1">
        <v>0</v>
      </c>
    </row>
    <row r="42" spans="1:18" x14ac:dyDescent="0.3">
      <c r="A42">
        <v>1998</v>
      </c>
      <c r="B42" s="1">
        <v>427208</v>
      </c>
      <c r="C42" s="1">
        <v>62</v>
      </c>
      <c r="D42" s="1">
        <v>0</v>
      </c>
      <c r="E42" s="1">
        <v>4553.7182240000002</v>
      </c>
      <c r="F42" s="1">
        <v>597.4973</v>
      </c>
      <c r="G42" s="1">
        <v>29682.673329999998</v>
      </c>
      <c r="H42" s="1">
        <v>2929.1244000000002</v>
      </c>
      <c r="I42" s="1">
        <v>0</v>
      </c>
      <c r="J42" s="1">
        <v>12657.40648</v>
      </c>
      <c r="K42" s="1">
        <v>97574.265960000004</v>
      </c>
      <c r="L42" s="1">
        <v>1470.1098500000001</v>
      </c>
      <c r="M42" s="1">
        <v>602.17247999999995</v>
      </c>
      <c r="N42" s="1">
        <v>46305.24</v>
      </c>
      <c r="O42" s="1">
        <v>10818.27052</v>
      </c>
      <c r="P42" s="1">
        <v>234.44034540829355</v>
      </c>
      <c r="Q42" s="1">
        <v>4760.3774790895986</v>
      </c>
      <c r="R42" s="1">
        <v>40.291400000000003</v>
      </c>
    </row>
    <row r="43" spans="1:18" x14ac:dyDescent="0.3">
      <c r="A43">
        <v>1999</v>
      </c>
      <c r="B43" s="1">
        <v>295716.61556789995</v>
      </c>
      <c r="C43" s="1">
        <v>0</v>
      </c>
      <c r="D43" s="1">
        <v>0</v>
      </c>
      <c r="E43" s="1">
        <v>2952.63663</v>
      </c>
      <c r="F43" s="1">
        <v>4818.2638300000008</v>
      </c>
      <c r="G43" s="1">
        <v>53015.465109999997</v>
      </c>
      <c r="H43" s="1">
        <v>8754.1854300000014</v>
      </c>
      <c r="I43" s="1">
        <v>353.43400000000003</v>
      </c>
      <c r="J43" s="1">
        <v>124906.42472000001</v>
      </c>
      <c r="K43" s="1">
        <v>192029.63639</v>
      </c>
      <c r="L43" s="1">
        <v>0</v>
      </c>
      <c r="M43" s="1">
        <v>239.52511193571559</v>
      </c>
      <c r="N43" s="1">
        <v>80066.185818960614</v>
      </c>
      <c r="O43" s="1">
        <v>4300.7467734198917</v>
      </c>
      <c r="P43" s="1">
        <v>658.35239999999999</v>
      </c>
      <c r="Q43" s="1">
        <v>1930.2948249999999</v>
      </c>
      <c r="R43" s="1">
        <v>0</v>
      </c>
    </row>
    <row r="44" spans="1:18" x14ac:dyDescent="0.3">
      <c r="A44">
        <v>2000</v>
      </c>
      <c r="B44" s="1">
        <v>208651</v>
      </c>
      <c r="C44" s="1">
        <v>130.10400000000001</v>
      </c>
      <c r="D44" s="1">
        <v>0</v>
      </c>
      <c r="E44" s="1">
        <v>2261.4682699999998</v>
      </c>
      <c r="F44" s="1">
        <v>7074.0803599999999</v>
      </c>
      <c r="G44" s="1">
        <v>56452.654639999993</v>
      </c>
      <c r="H44" s="1">
        <v>5858.0949899999996</v>
      </c>
      <c r="I44" s="1">
        <v>0</v>
      </c>
      <c r="J44" s="1">
        <v>40660.117044760234</v>
      </c>
      <c r="K44" s="1">
        <v>148871.96013551959</v>
      </c>
      <c r="L44" s="1">
        <v>148.37603536248028</v>
      </c>
      <c r="M44" s="1">
        <v>0</v>
      </c>
      <c r="N44" s="1">
        <v>26019.211675000002</v>
      </c>
      <c r="O44" s="1">
        <v>893.19505000000004</v>
      </c>
      <c r="P44" s="1">
        <v>539.37680064699998</v>
      </c>
      <c r="Q44" s="1">
        <v>2480.9059982100002</v>
      </c>
      <c r="R44" s="1">
        <v>0</v>
      </c>
    </row>
    <row r="45" spans="1:18" x14ac:dyDescent="0.3">
      <c r="A45">
        <v>2001</v>
      </c>
      <c r="B45" s="1">
        <v>218892</v>
      </c>
      <c r="C45" s="1">
        <v>0</v>
      </c>
      <c r="D45" s="1">
        <v>0</v>
      </c>
      <c r="E45" s="1">
        <v>97.344839999999991</v>
      </c>
      <c r="F45" s="1">
        <v>0</v>
      </c>
      <c r="G45" s="1">
        <v>21217.133877337306</v>
      </c>
      <c r="H45" s="1">
        <v>4756.3128562860684</v>
      </c>
      <c r="I45" s="1">
        <v>0</v>
      </c>
      <c r="J45" s="1">
        <v>12811.910125</v>
      </c>
      <c r="K45" s="1">
        <v>57133.109574999995</v>
      </c>
      <c r="L45" s="1">
        <v>0</v>
      </c>
      <c r="M45" s="1">
        <v>314.93301172899999</v>
      </c>
      <c r="N45" s="1">
        <v>95614.723274081</v>
      </c>
      <c r="O45" s="1">
        <v>2218.2777868980002</v>
      </c>
      <c r="P45" s="1">
        <v>299.40359166666667</v>
      </c>
      <c r="Q45" s="1">
        <v>141.50626699999998</v>
      </c>
      <c r="R45" s="1">
        <v>0</v>
      </c>
    </row>
    <row r="46" spans="1:18" x14ac:dyDescent="0.3">
      <c r="A46">
        <v>2002</v>
      </c>
      <c r="B46" s="1">
        <v>229292</v>
      </c>
      <c r="C46" s="1">
        <v>0</v>
      </c>
      <c r="D46" s="1">
        <v>0</v>
      </c>
      <c r="E46" s="1">
        <v>498.67863788908318</v>
      </c>
      <c r="F46" s="1">
        <v>120.8742</v>
      </c>
      <c r="G46" s="1">
        <v>13352.343525</v>
      </c>
      <c r="H46" s="1">
        <v>4880.7840249999999</v>
      </c>
      <c r="I46" s="1">
        <v>141.34120547500001</v>
      </c>
      <c r="J46" s="1">
        <v>61712.893281126999</v>
      </c>
      <c r="K46" s="1">
        <v>162634.09084207099</v>
      </c>
      <c r="L46" s="1">
        <v>213.90910431200001</v>
      </c>
      <c r="M46" s="1">
        <v>1385.93301</v>
      </c>
      <c r="N46" s="1">
        <v>67474.288383333333</v>
      </c>
      <c r="O46" s="1">
        <v>188.74832266666667</v>
      </c>
      <c r="P46" s="1">
        <v>477.09390000000002</v>
      </c>
      <c r="Q46" s="1">
        <v>311.28182308499998</v>
      </c>
      <c r="R46" s="1">
        <v>0</v>
      </c>
    </row>
    <row r="47" spans="1:18" x14ac:dyDescent="0.3">
      <c r="A47">
        <v>2003</v>
      </c>
      <c r="B47" s="1">
        <v>197892</v>
      </c>
      <c r="C47" s="1">
        <v>0</v>
      </c>
      <c r="D47" s="1">
        <v>40.291400000000003</v>
      </c>
      <c r="E47" s="1">
        <v>2224.3418999999999</v>
      </c>
      <c r="F47" s="1">
        <v>1086.283713177</v>
      </c>
      <c r="G47" s="1">
        <v>47900.005382402</v>
      </c>
      <c r="H47" s="1">
        <v>5677.9581740349995</v>
      </c>
      <c r="I47" s="1">
        <v>0</v>
      </c>
      <c r="J47" s="1">
        <v>47985.747620333335</v>
      </c>
      <c r="K47" s="1">
        <v>88087.893031999993</v>
      </c>
      <c r="L47" s="1">
        <v>0</v>
      </c>
      <c r="M47" s="1">
        <v>152.4376</v>
      </c>
      <c r="N47" s="1">
        <v>36067.819728731003</v>
      </c>
      <c r="O47" s="1">
        <v>2985.6951048689998</v>
      </c>
      <c r="P47" s="1">
        <v>296.26</v>
      </c>
      <c r="Q47" s="1">
        <v>1015.4992882</v>
      </c>
      <c r="R47" s="1">
        <v>0</v>
      </c>
    </row>
    <row r="48" spans="1:18" x14ac:dyDescent="0.3">
      <c r="A48">
        <v>2004</v>
      </c>
      <c r="B48" s="1">
        <v>275238</v>
      </c>
      <c r="C48" s="1">
        <v>0</v>
      </c>
      <c r="D48" s="1">
        <v>0</v>
      </c>
      <c r="E48" s="1">
        <v>2444.6587198359998</v>
      </c>
      <c r="F48" s="1">
        <v>3357.6870009999998</v>
      </c>
      <c r="G48" s="1">
        <v>24943.836983333335</v>
      </c>
      <c r="H48" s="1">
        <v>5072.5446023333334</v>
      </c>
      <c r="I48" s="1">
        <v>152.4376</v>
      </c>
      <c r="J48" s="1">
        <v>59544.033430861993</v>
      </c>
      <c r="K48" s="1">
        <v>163973.56797650401</v>
      </c>
      <c r="L48" s="1">
        <v>0</v>
      </c>
      <c r="M48" s="1">
        <v>625.00086929999998</v>
      </c>
      <c r="N48" s="1">
        <v>34629.980180099999</v>
      </c>
      <c r="O48" s="1">
        <v>3191.7857701000003</v>
      </c>
      <c r="P48" s="1">
        <v>195.17689999999999</v>
      </c>
      <c r="Q48" s="1">
        <v>0</v>
      </c>
      <c r="R48" s="1">
        <v>0</v>
      </c>
    </row>
    <row r="49" spans="1:18" x14ac:dyDescent="0.3">
      <c r="A49">
        <v>2005</v>
      </c>
      <c r="B49" s="1">
        <v>251906</v>
      </c>
      <c r="C49" s="1">
        <v>0</v>
      </c>
      <c r="D49" s="1">
        <v>67.050168666666664</v>
      </c>
      <c r="E49" s="1">
        <v>5422.9461446666664</v>
      </c>
      <c r="F49" s="1">
        <v>694.20642308499998</v>
      </c>
      <c r="G49" s="1">
        <v>99529.68622237799</v>
      </c>
      <c r="H49" s="1">
        <v>13238.969874730999</v>
      </c>
      <c r="I49" s="1">
        <v>0</v>
      </c>
      <c r="J49" s="1">
        <v>73593.952401599992</v>
      </c>
      <c r="K49" s="1">
        <v>260807.76944209996</v>
      </c>
      <c r="L49" s="1">
        <v>1058.8485764000002</v>
      </c>
      <c r="M49" s="1">
        <v>306.53406389999998</v>
      </c>
      <c r="N49" s="1">
        <v>33847.391199999998</v>
      </c>
      <c r="O49" s="1">
        <v>2480.0407787000004</v>
      </c>
      <c r="P49" s="1">
        <v>0</v>
      </c>
      <c r="Q49" s="1">
        <v>682.07204160000003</v>
      </c>
      <c r="R49" s="1">
        <v>0</v>
      </c>
    </row>
    <row r="50" spans="1:18" x14ac:dyDescent="0.3">
      <c r="A50">
        <v>2006</v>
      </c>
      <c r="B50" s="1">
        <v>87780.00009999999</v>
      </c>
      <c r="C50" s="1">
        <v>0</v>
      </c>
      <c r="D50" s="1">
        <v>0</v>
      </c>
      <c r="E50" s="1">
        <v>8644.600627853999</v>
      </c>
      <c r="F50" s="1">
        <v>839.01051340000004</v>
      </c>
      <c r="G50" s="1">
        <v>110178.6749973</v>
      </c>
      <c r="H50" s="1">
        <v>16074.2257579</v>
      </c>
      <c r="I50" s="1">
        <v>0</v>
      </c>
      <c r="J50" s="1">
        <v>77323.984713900005</v>
      </c>
      <c r="K50" s="1">
        <v>161776.81712409999</v>
      </c>
      <c r="L50" s="1">
        <v>162.73590000000002</v>
      </c>
      <c r="M50" s="1">
        <v>316.78482320000001</v>
      </c>
      <c r="N50" s="1">
        <v>40896.938733990006</v>
      </c>
      <c r="O50" s="1">
        <v>4379.08460767</v>
      </c>
      <c r="P50" s="1">
        <v>0</v>
      </c>
      <c r="Q50" s="1">
        <v>0</v>
      </c>
      <c r="R50" s="1">
        <v>0</v>
      </c>
    </row>
    <row r="51" spans="1:18" x14ac:dyDescent="0.3">
      <c r="A51">
        <v>2007</v>
      </c>
      <c r="B51" s="1">
        <v>283042</v>
      </c>
      <c r="C51" s="1">
        <v>0</v>
      </c>
      <c r="D51" s="1">
        <v>0</v>
      </c>
      <c r="E51" s="1">
        <v>15957.9980099</v>
      </c>
      <c r="F51" s="1">
        <v>1453.9436102</v>
      </c>
      <c r="G51" s="1">
        <v>101723.18513519999</v>
      </c>
      <c r="H51" s="1">
        <v>35353.843150000001</v>
      </c>
      <c r="I51" s="1">
        <v>0</v>
      </c>
      <c r="J51" s="1">
        <v>103710.9912191</v>
      </c>
      <c r="K51" s="1">
        <v>318853.73107835004</v>
      </c>
      <c r="L51" s="1">
        <v>224.19016963000001</v>
      </c>
      <c r="M51" s="1">
        <v>336.03476617365237</v>
      </c>
      <c r="N51" s="1">
        <v>58051.645866405917</v>
      </c>
      <c r="O51" s="1">
        <v>1205.1497974418128</v>
      </c>
      <c r="P51" s="1">
        <v>0</v>
      </c>
      <c r="Q51" s="1">
        <v>0</v>
      </c>
      <c r="R51" s="1">
        <v>0</v>
      </c>
    </row>
    <row r="52" spans="1:18" x14ac:dyDescent="0.3">
      <c r="A52">
        <v>2008</v>
      </c>
      <c r="B52" s="1">
        <v>162888</v>
      </c>
      <c r="C52" s="1">
        <v>0</v>
      </c>
      <c r="D52" s="1">
        <v>0</v>
      </c>
      <c r="E52" s="1">
        <v>16912.04</v>
      </c>
      <c r="F52" s="1">
        <v>865.9438232</v>
      </c>
      <c r="G52" s="1">
        <v>66933.748431200002</v>
      </c>
      <c r="H52" s="1">
        <v>11628.347316020001</v>
      </c>
      <c r="I52" s="1">
        <v>0</v>
      </c>
      <c r="J52" s="1">
        <v>67656.256761542289</v>
      </c>
      <c r="K52" s="1">
        <v>149977.78516159716</v>
      </c>
      <c r="L52" s="1">
        <v>0</v>
      </c>
      <c r="M52" s="1">
        <v>665.86092000000008</v>
      </c>
      <c r="N52" s="1">
        <v>37278.700205000008</v>
      </c>
      <c r="O52" s="1">
        <v>1459.6972799999999</v>
      </c>
      <c r="P52" s="1">
        <v>9.4431999999999992</v>
      </c>
      <c r="Q52" s="1">
        <v>38.168700000000001</v>
      </c>
      <c r="R52" s="1">
        <v>0</v>
      </c>
    </row>
    <row r="53" spans="1:18" x14ac:dyDescent="0.3">
      <c r="A53">
        <v>2009</v>
      </c>
      <c r="B53" s="1">
        <v>315184</v>
      </c>
      <c r="C53" s="1">
        <v>95.366</v>
      </c>
      <c r="D53" s="1">
        <v>0</v>
      </c>
      <c r="E53" s="1">
        <v>9667.7515054100004</v>
      </c>
      <c r="F53" s="1">
        <v>5863.368342557671</v>
      </c>
      <c r="G53" s="1">
        <v>74429.707962722547</v>
      </c>
      <c r="H53" s="1">
        <v>21284.353244032427</v>
      </c>
      <c r="I53" s="1">
        <v>0</v>
      </c>
      <c r="J53" s="1">
        <v>74131.305124999999</v>
      </c>
      <c r="K53" s="1">
        <v>210246.76921999999</v>
      </c>
      <c r="L53" s="1">
        <v>0</v>
      </c>
      <c r="M53" s="1">
        <v>326.70550000000003</v>
      </c>
      <c r="N53" s="1">
        <v>83088.478300000002</v>
      </c>
      <c r="O53" s="1">
        <v>1432.038</v>
      </c>
      <c r="P53" s="1">
        <v>0</v>
      </c>
      <c r="Q53" s="1">
        <v>47.407649999999997</v>
      </c>
      <c r="R53" s="1">
        <v>0</v>
      </c>
    </row>
    <row r="54" spans="1:18" x14ac:dyDescent="0.3">
      <c r="A54">
        <v>2010</v>
      </c>
      <c r="B54" s="1">
        <v>262327</v>
      </c>
      <c r="C54" s="1">
        <v>0</v>
      </c>
      <c r="D54" s="1">
        <v>318.36876129682031</v>
      </c>
      <c r="E54" s="1">
        <v>50918.195236229672</v>
      </c>
      <c r="F54" s="1">
        <v>1375.704045</v>
      </c>
      <c r="G54" s="1">
        <v>277595.70846499997</v>
      </c>
      <c r="H54" s="1">
        <v>20472.311675000004</v>
      </c>
      <c r="I54" s="1">
        <v>0</v>
      </c>
      <c r="J54" s="1">
        <v>394284.80897500005</v>
      </c>
      <c r="K54" s="1">
        <v>218636.04347500001</v>
      </c>
      <c r="L54" s="1">
        <v>515.70155</v>
      </c>
      <c r="M54" s="1">
        <v>164.03895</v>
      </c>
      <c r="N54" s="1">
        <v>26807.430493</v>
      </c>
      <c r="O54" s="1">
        <v>1449.4085679999998</v>
      </c>
      <c r="P54" s="1">
        <v>0</v>
      </c>
      <c r="Q54" s="1">
        <v>0</v>
      </c>
      <c r="R54" s="1">
        <v>0</v>
      </c>
    </row>
    <row r="55" spans="1:18" x14ac:dyDescent="0.3">
      <c r="A55">
        <v>2011</v>
      </c>
      <c r="B55" s="1">
        <v>261141</v>
      </c>
      <c r="C55" s="1">
        <v>0</v>
      </c>
      <c r="D55" s="1">
        <v>292.19962500000003</v>
      </c>
      <c r="E55" s="1">
        <v>3903.9573400000004</v>
      </c>
      <c r="F55" s="1">
        <v>12313.057175</v>
      </c>
      <c r="G55" s="1">
        <v>87309.843724999999</v>
      </c>
      <c r="H55" s="1">
        <v>13490.347900000001</v>
      </c>
      <c r="I55" s="1">
        <v>0</v>
      </c>
      <c r="J55" s="1">
        <v>45711.875151</v>
      </c>
      <c r="K55" s="1">
        <v>201976.304882</v>
      </c>
      <c r="L55" s="1">
        <v>58.29177</v>
      </c>
      <c r="M55" s="1">
        <v>354.25074499999999</v>
      </c>
      <c r="N55" s="1">
        <v>125606.61475000001</v>
      </c>
      <c r="O55" s="1">
        <v>657.92488000000003</v>
      </c>
      <c r="P55" s="1">
        <v>0</v>
      </c>
      <c r="Q55" s="1">
        <v>0</v>
      </c>
      <c r="R55" s="1">
        <v>0</v>
      </c>
    </row>
    <row r="56" spans="1:18" x14ac:dyDescent="0.3">
      <c r="A56">
        <v>2012</v>
      </c>
      <c r="B56" s="1">
        <v>328254</v>
      </c>
      <c r="C56" s="1">
        <v>0</v>
      </c>
      <c r="D56" s="1">
        <v>1421.014625</v>
      </c>
      <c r="E56" s="1">
        <v>4858.5989499999996</v>
      </c>
      <c r="F56" s="1">
        <v>5418.7752259999997</v>
      </c>
      <c r="G56" s="1">
        <v>69546.285230999987</v>
      </c>
      <c r="H56" s="1">
        <v>8623.2740729999987</v>
      </c>
      <c r="I56" s="1">
        <v>354.65269999999998</v>
      </c>
      <c r="J56" s="1">
        <v>96102.364189999993</v>
      </c>
      <c r="K56" s="1">
        <v>136434.67229000002</v>
      </c>
      <c r="L56" s="1">
        <v>0</v>
      </c>
      <c r="M56" s="1">
        <v>130.83499999999998</v>
      </c>
      <c r="N56" s="1">
        <v>17015.758600000001</v>
      </c>
      <c r="O56" s="1">
        <v>0</v>
      </c>
      <c r="P56" s="1">
        <v>0</v>
      </c>
      <c r="Q56" s="1">
        <v>0</v>
      </c>
      <c r="R56" s="1">
        <v>0</v>
      </c>
    </row>
    <row r="57" spans="1:18" x14ac:dyDescent="0.3">
      <c r="A57">
        <v>2013</v>
      </c>
      <c r="B57" s="1">
        <v>282164</v>
      </c>
      <c r="C57" s="1">
        <v>0</v>
      </c>
      <c r="D57" s="1">
        <v>461.76974899999999</v>
      </c>
      <c r="E57" s="1">
        <v>2892.7184379999999</v>
      </c>
      <c r="F57" s="1">
        <v>13147.39834</v>
      </c>
      <c r="G57" s="1">
        <v>46022.588304999997</v>
      </c>
      <c r="H57" s="1">
        <v>9725.8938999999991</v>
      </c>
      <c r="I57" s="1">
        <v>0</v>
      </c>
      <c r="J57" s="1">
        <v>15716.05805</v>
      </c>
      <c r="K57" s="1">
        <v>122166.89194999999</v>
      </c>
      <c r="L57" s="1">
        <v>0</v>
      </c>
      <c r="M57" s="1">
        <v>0</v>
      </c>
      <c r="N57" s="1">
        <v>62046.668050000007</v>
      </c>
      <c r="O57" s="1">
        <v>0</v>
      </c>
      <c r="P57" s="1">
        <v>202.13890000000001</v>
      </c>
      <c r="Q57" s="1">
        <v>183.73399999999998</v>
      </c>
      <c r="R57" s="1">
        <v>0</v>
      </c>
    </row>
    <row r="58" spans="1:18" x14ac:dyDescent="0.3">
      <c r="A58">
        <v>2014</v>
      </c>
      <c r="B58" s="1">
        <v>297711</v>
      </c>
      <c r="C58" s="1">
        <v>0</v>
      </c>
      <c r="D58" s="1">
        <v>0</v>
      </c>
      <c r="E58" s="1">
        <v>18572.160645</v>
      </c>
      <c r="F58" s="1">
        <v>0</v>
      </c>
      <c r="G58" s="1">
        <v>264673.06234999996</v>
      </c>
      <c r="H58" s="1">
        <v>5747.4059500000012</v>
      </c>
      <c r="I58" s="1">
        <v>0</v>
      </c>
      <c r="J58" s="1">
        <v>254872.88134999998</v>
      </c>
      <c r="K58" s="1">
        <v>123600.87059999999</v>
      </c>
      <c r="L58" s="1">
        <v>0</v>
      </c>
      <c r="M58" s="1">
        <v>246.20169999999999</v>
      </c>
      <c r="N58" s="1">
        <v>26985.471999999998</v>
      </c>
      <c r="O58" s="1">
        <v>0</v>
      </c>
      <c r="P58" s="1">
        <v>0</v>
      </c>
      <c r="Q58" s="1">
        <v>0</v>
      </c>
      <c r="R58" s="1">
        <v>0</v>
      </c>
    </row>
    <row r="59" spans="1:18" x14ac:dyDescent="0.3">
      <c r="A59">
        <v>2015</v>
      </c>
      <c r="B59" s="1">
        <v>326435</v>
      </c>
      <c r="C59" s="1">
        <v>430.63706999999999</v>
      </c>
      <c r="D59" s="1">
        <v>4376.7961999999998</v>
      </c>
      <c r="E59" s="1">
        <v>14482.907050000002</v>
      </c>
      <c r="F59" s="1">
        <v>23663.548900000002</v>
      </c>
      <c r="G59" s="1">
        <v>105644.94345000001</v>
      </c>
      <c r="H59" s="1">
        <v>1606.3071500000001</v>
      </c>
      <c r="I59" s="1">
        <v>0</v>
      </c>
      <c r="J59" s="1">
        <v>98393.981050000002</v>
      </c>
      <c r="K59" s="1">
        <v>59855.563999999998</v>
      </c>
      <c r="L59" s="1">
        <v>106.50970000000001</v>
      </c>
      <c r="M59" s="1">
        <v>236.2</v>
      </c>
      <c r="N59" s="1">
        <v>17713.46994142863</v>
      </c>
      <c r="O59" s="1">
        <v>0</v>
      </c>
      <c r="P59" s="1">
        <v>0</v>
      </c>
      <c r="Q59" s="1">
        <v>0</v>
      </c>
      <c r="R59" s="1">
        <v>0</v>
      </c>
    </row>
    <row r="60" spans="1:18" x14ac:dyDescent="0.3">
      <c r="A60">
        <v>2016</v>
      </c>
      <c r="B60" s="1">
        <v>254967</v>
      </c>
      <c r="C60" s="1">
        <v>0</v>
      </c>
      <c r="D60" s="1">
        <v>0</v>
      </c>
      <c r="E60" s="1">
        <v>8414.60455</v>
      </c>
      <c r="F60" s="1">
        <v>2107.5009999999997</v>
      </c>
      <c r="G60" s="1">
        <v>184190.08429999999</v>
      </c>
      <c r="H60" s="1">
        <v>12362.656599999998</v>
      </c>
      <c r="I60" s="1">
        <v>0</v>
      </c>
      <c r="J60" s="1">
        <v>83147.815381033899</v>
      </c>
      <c r="K60" s="1">
        <v>111688.78663477168</v>
      </c>
      <c r="L60" s="1">
        <v>0</v>
      </c>
      <c r="M60" s="1">
        <v>0</v>
      </c>
      <c r="N60" s="1">
        <v>29920.016210021007</v>
      </c>
      <c r="O60" s="1">
        <v>0</v>
      </c>
      <c r="P60" s="1">
        <v>0</v>
      </c>
      <c r="Q60" s="1">
        <v>0</v>
      </c>
      <c r="R60" s="1">
        <v>0</v>
      </c>
    </row>
    <row r="61" spans="1:18" x14ac:dyDescent="0.3">
      <c r="A61">
        <v>2017</v>
      </c>
      <c r="B61" s="1">
        <v>324858</v>
      </c>
      <c r="C61" s="1">
        <v>0</v>
      </c>
      <c r="D61" s="1">
        <v>139.01999999999998</v>
      </c>
      <c r="E61" s="1">
        <v>108093.5935</v>
      </c>
      <c r="F61" s="1">
        <v>3932.1656038047458</v>
      </c>
      <c r="G61" s="1">
        <v>1024865.5650000001</v>
      </c>
      <c r="H61" s="1">
        <v>13162.034999999998</v>
      </c>
      <c r="I61" s="1">
        <v>0</v>
      </c>
      <c r="J61" s="1">
        <v>326894.40635428665</v>
      </c>
      <c r="K61" s="1">
        <v>108642.76082639968</v>
      </c>
      <c r="L61" s="1">
        <v>43.239599999999996</v>
      </c>
      <c r="M61" s="1">
        <v>311.14048219443623</v>
      </c>
      <c r="N61" s="1">
        <v>27550.023109737624</v>
      </c>
      <c r="O61" s="1">
        <v>441.92071113964096</v>
      </c>
      <c r="P61" s="1">
        <v>0</v>
      </c>
      <c r="Q61" s="1">
        <v>0</v>
      </c>
      <c r="R61" s="1">
        <v>0</v>
      </c>
    </row>
    <row r="62" spans="1:18" x14ac:dyDescent="0.3">
      <c r="A62">
        <v>2018</v>
      </c>
      <c r="B62" s="1">
        <v>266333.00599999999</v>
      </c>
      <c r="C62" s="1">
        <v>0</v>
      </c>
      <c r="D62" s="1">
        <v>427.50544387084875</v>
      </c>
      <c r="E62" s="1">
        <v>28696.339</v>
      </c>
      <c r="F62" s="1">
        <v>125.82889999999999</v>
      </c>
      <c r="G62" s="1">
        <v>442645.07460000005</v>
      </c>
      <c r="H62" s="1">
        <v>7115.847099999999</v>
      </c>
      <c r="I62" s="1">
        <v>0</v>
      </c>
      <c r="J62" s="1">
        <v>215718.05922647117</v>
      </c>
      <c r="K62" s="1">
        <v>127531.08767703488</v>
      </c>
      <c r="L62" s="1">
        <v>0</v>
      </c>
      <c r="M62" s="1">
        <v>0</v>
      </c>
      <c r="N62" s="1">
        <v>7994.991893208854</v>
      </c>
      <c r="O62" s="1">
        <v>1052.7366010910591</v>
      </c>
      <c r="P62" s="1">
        <v>0</v>
      </c>
      <c r="Q62" s="1">
        <v>0</v>
      </c>
      <c r="R62" s="1"/>
    </row>
    <row r="63" spans="1:18" x14ac:dyDescent="0.3">
      <c r="A63">
        <v>2019</v>
      </c>
      <c r="B63" s="1">
        <v>279639</v>
      </c>
      <c r="C63" s="1">
        <v>0</v>
      </c>
      <c r="D63" s="1">
        <v>99.242999999999995</v>
      </c>
      <c r="E63" s="1">
        <v>10967.3151</v>
      </c>
      <c r="F63" s="1">
        <v>2188.130435222879</v>
      </c>
      <c r="G63" s="1">
        <v>66061.703810000006</v>
      </c>
      <c r="H63" s="1">
        <v>6637.2056499999999</v>
      </c>
      <c r="I63" s="1">
        <v>0</v>
      </c>
      <c r="J63" s="1">
        <v>26478.798407910137</v>
      </c>
      <c r="K63" s="1">
        <v>118620.32550079437</v>
      </c>
      <c r="L63" s="1">
        <v>0</v>
      </c>
      <c r="M63" s="1">
        <v>0</v>
      </c>
      <c r="N63" s="1">
        <v>25029.548714701563</v>
      </c>
      <c r="O63" s="1">
        <v>0</v>
      </c>
      <c r="P63" s="1"/>
      <c r="Q63" s="1"/>
      <c r="R63" s="1"/>
    </row>
    <row r="64" spans="1:18" x14ac:dyDescent="0.3">
      <c r="A64">
        <v>2020</v>
      </c>
      <c r="B64" s="1">
        <v>302595</v>
      </c>
      <c r="C64" s="1">
        <v>0</v>
      </c>
      <c r="D64" s="1">
        <v>0</v>
      </c>
      <c r="E64" s="1">
        <v>82800.464999999997</v>
      </c>
      <c r="F64" s="1">
        <v>1187.3937264625813</v>
      </c>
      <c r="G64" s="1">
        <v>313618.32799999998</v>
      </c>
      <c r="H64" s="1">
        <v>6766.7190000000001</v>
      </c>
      <c r="I64" s="1">
        <v>0</v>
      </c>
      <c r="J64" s="1">
        <v>166532.94739749597</v>
      </c>
      <c r="K64" s="1">
        <v>79736.029490173329</v>
      </c>
      <c r="L64" s="1">
        <v>0</v>
      </c>
      <c r="M64" s="1"/>
      <c r="N64" s="1"/>
      <c r="O64" s="1"/>
      <c r="P64" s="1"/>
      <c r="Q64" s="1"/>
      <c r="R64" s="1"/>
    </row>
    <row r="65" spans="1:18" x14ac:dyDescent="0.3">
      <c r="A65">
        <v>2021</v>
      </c>
      <c r="B65" s="1">
        <v>384174</v>
      </c>
      <c r="C65" s="1">
        <v>0</v>
      </c>
      <c r="D65" s="1">
        <v>0</v>
      </c>
      <c r="E65" s="1">
        <v>36819.512000000002</v>
      </c>
      <c r="F65" s="1">
        <v>15993.423694066263</v>
      </c>
      <c r="G65" s="1">
        <v>365245.79499999998</v>
      </c>
      <c r="H65" s="1">
        <v>36469.635000000002</v>
      </c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">
      <c r="A66">
        <v>2022</v>
      </c>
      <c r="B66" s="1">
        <v>352462</v>
      </c>
      <c r="C66" s="1">
        <v>0</v>
      </c>
      <c r="D66" s="1">
        <v>0</v>
      </c>
      <c r="E66" s="1">
        <v>47552.872000000003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">
      <c r="A67">
        <v>2023</v>
      </c>
      <c r="B67">
        <v>318099</v>
      </c>
      <c r="C67" s="50">
        <v>681.84500000000003</v>
      </c>
    </row>
    <row r="68" spans="1:18" x14ac:dyDescent="0.3">
      <c r="A68">
        <v>2024</v>
      </c>
      <c r="B68">
        <v>317994</v>
      </c>
    </row>
    <row r="69" spans="1:18" x14ac:dyDescent="0.3">
      <c r="A69">
        <v>2025</v>
      </c>
      <c r="B69">
        <v>440986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BD33-74AC-4A33-85F1-B09909C8A404}">
  <dimension ref="A1:W56"/>
  <sheetViews>
    <sheetView tabSelected="1" topLeftCell="A31" workbookViewId="0">
      <selection activeCell="I62" sqref="I62"/>
    </sheetView>
  </sheetViews>
  <sheetFormatPr defaultRowHeight="14.4" x14ac:dyDescent="0.3"/>
  <sheetData>
    <row r="1" spans="1:23" x14ac:dyDescent="0.3">
      <c r="A1" t="s">
        <v>5</v>
      </c>
    </row>
    <row r="4" spans="1:23" x14ac:dyDescent="0.3">
      <c r="A4" t="s">
        <v>0</v>
      </c>
      <c r="K4" t="s">
        <v>1</v>
      </c>
    </row>
    <row r="5" spans="1:23" x14ac:dyDescent="0.3">
      <c r="A5" t="s">
        <v>2</v>
      </c>
      <c r="B5" t="s">
        <v>3</v>
      </c>
      <c r="C5">
        <v>0.1</v>
      </c>
      <c r="D5">
        <v>0.2</v>
      </c>
      <c r="E5">
        <v>1.1000000000000001</v>
      </c>
      <c r="F5">
        <v>0.3</v>
      </c>
      <c r="G5">
        <v>1.2</v>
      </c>
      <c r="H5">
        <v>2.1</v>
      </c>
      <c r="I5">
        <v>0.4</v>
      </c>
      <c r="J5">
        <v>1.3</v>
      </c>
      <c r="K5">
        <v>2.2000000000000002</v>
      </c>
      <c r="L5">
        <v>3.1</v>
      </c>
      <c r="M5">
        <v>1.4</v>
      </c>
      <c r="N5">
        <v>2.2999999999999998</v>
      </c>
      <c r="O5">
        <v>3.2</v>
      </c>
      <c r="P5">
        <v>4.0999999999999996</v>
      </c>
      <c r="Q5">
        <v>2.4</v>
      </c>
      <c r="R5">
        <v>3.3</v>
      </c>
      <c r="S5">
        <v>4.2</v>
      </c>
      <c r="T5">
        <v>2.5</v>
      </c>
      <c r="U5">
        <v>3.4</v>
      </c>
      <c r="V5">
        <v>4.3</v>
      </c>
      <c r="W5">
        <v>4.4000000000000004</v>
      </c>
    </row>
    <row r="7" spans="1:23" x14ac:dyDescent="0.3">
      <c r="A7">
        <v>1976</v>
      </c>
      <c r="B7" s="1">
        <v>319459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0</v>
      </c>
    </row>
    <row r="8" spans="1:23" x14ac:dyDescent="0.3">
      <c r="A8">
        <v>1977</v>
      </c>
      <c r="B8" s="1">
        <v>366936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0</v>
      </c>
      <c r="U8" s="1">
        <v>0</v>
      </c>
      <c r="V8" s="1">
        <v>0</v>
      </c>
      <c r="W8" s="1">
        <v>0</v>
      </c>
    </row>
    <row r="9" spans="1:23" x14ac:dyDescent="0.3">
      <c r="A9">
        <v>1978</v>
      </c>
      <c r="B9" s="1">
        <v>112194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0</v>
      </c>
      <c r="R9" s="1">
        <v>6728.3969230769235</v>
      </c>
      <c r="S9" s="1">
        <v>0</v>
      </c>
      <c r="T9" s="1">
        <v>0</v>
      </c>
      <c r="U9" s="1">
        <v>0</v>
      </c>
      <c r="V9" s="1">
        <v>0</v>
      </c>
      <c r="W9" s="1">
        <v>0</v>
      </c>
    </row>
    <row r="10" spans="1:23" x14ac:dyDescent="0.3">
      <c r="A10">
        <v>1979</v>
      </c>
      <c r="B10" s="1">
        <v>248908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v>0</v>
      </c>
      <c r="N10" s="1">
        <v>54170.659119106342</v>
      </c>
      <c r="O10" s="1">
        <v>167426.09846153847</v>
      </c>
      <c r="P10" s="1">
        <v>0</v>
      </c>
      <c r="Q10" s="1">
        <v>0</v>
      </c>
      <c r="R10" s="1">
        <v>85142.627766599602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 spans="1:23" x14ac:dyDescent="0.3">
      <c r="A11">
        <v>1980</v>
      </c>
      <c r="B11" s="1">
        <v>14227</v>
      </c>
      <c r="C11" s="1"/>
      <c r="D11" s="1"/>
      <c r="E11" s="1"/>
      <c r="F11" s="1"/>
      <c r="G11" s="1"/>
      <c r="H11" s="1"/>
      <c r="I11" s="1">
        <v>0</v>
      </c>
      <c r="J11" s="1">
        <v>446.31574333712268</v>
      </c>
      <c r="K11" s="1">
        <v>596052.83089687082</v>
      </c>
      <c r="L11" s="1">
        <v>4476</v>
      </c>
      <c r="M11" s="1">
        <v>0</v>
      </c>
      <c r="N11" s="1">
        <v>156074.10872027569</v>
      </c>
      <c r="O11" s="1">
        <v>177586.64788732395</v>
      </c>
      <c r="P11" s="1">
        <v>0</v>
      </c>
      <c r="Q11" s="1">
        <v>1189.7273138331464</v>
      </c>
      <c r="R11" s="1">
        <v>25537.272324796828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 spans="1:23" x14ac:dyDescent="0.3">
      <c r="A12">
        <v>1981</v>
      </c>
      <c r="B12" s="1">
        <v>124769</v>
      </c>
      <c r="C12" s="1"/>
      <c r="D12" s="1"/>
      <c r="E12" s="1"/>
      <c r="F12" s="1">
        <v>0</v>
      </c>
      <c r="G12" s="1">
        <v>5158.4217120608773</v>
      </c>
      <c r="H12" s="1">
        <v>13129</v>
      </c>
      <c r="I12" s="1">
        <v>0</v>
      </c>
      <c r="J12" s="1">
        <v>0</v>
      </c>
      <c r="K12" s="1">
        <v>402871.55112371111</v>
      </c>
      <c r="L12" s="1">
        <v>2521</v>
      </c>
      <c r="M12" s="1">
        <v>0</v>
      </c>
      <c r="N12" s="1">
        <v>187293.23830352997</v>
      </c>
      <c r="O12" s="1">
        <v>49557.114769716565</v>
      </c>
      <c r="P12" s="1">
        <v>0</v>
      </c>
      <c r="Q12" s="1">
        <v>0</v>
      </c>
      <c r="R12" s="1">
        <v>14077.05225409836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 spans="1:23" x14ac:dyDescent="0.3">
      <c r="A13">
        <v>1982</v>
      </c>
      <c r="B13" s="1">
        <v>41702</v>
      </c>
      <c r="C13" s="1"/>
      <c r="D13" s="1">
        <v>0</v>
      </c>
      <c r="E13" s="1">
        <v>0</v>
      </c>
      <c r="F13" s="1">
        <v>0</v>
      </c>
      <c r="G13" s="1">
        <v>0</v>
      </c>
      <c r="H13" s="1">
        <v>1261</v>
      </c>
      <c r="I13" s="1">
        <v>0</v>
      </c>
      <c r="J13" s="1">
        <v>5238.547764539182</v>
      </c>
      <c r="K13" s="1">
        <v>290630.8784663484</v>
      </c>
      <c r="L13" s="1">
        <v>606</v>
      </c>
      <c r="M13" s="1">
        <v>0</v>
      </c>
      <c r="N13" s="1">
        <v>110997.21892073475</v>
      </c>
      <c r="O13" s="1">
        <v>34710.626024590165</v>
      </c>
      <c r="P13" s="1">
        <v>0</v>
      </c>
      <c r="Q13" s="1">
        <v>0</v>
      </c>
      <c r="R13" s="1">
        <v>19631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</row>
    <row r="14" spans="1:23" x14ac:dyDescent="0.3">
      <c r="A14">
        <v>1983</v>
      </c>
      <c r="B14" s="1">
        <v>220795</v>
      </c>
      <c r="C14" s="1">
        <v>0</v>
      </c>
      <c r="D14" s="1">
        <v>0</v>
      </c>
      <c r="E14" s="1">
        <v>0</v>
      </c>
      <c r="F14" s="1">
        <v>4079.2182254407189</v>
      </c>
      <c r="G14" s="1">
        <v>4159.9953239083607</v>
      </c>
      <c r="H14" s="1">
        <v>12830</v>
      </c>
      <c r="I14" s="1">
        <v>0</v>
      </c>
      <c r="J14" s="1">
        <v>480.13873328921477</v>
      </c>
      <c r="K14" s="1">
        <v>241802.91005528928</v>
      </c>
      <c r="L14" s="1">
        <v>1268</v>
      </c>
      <c r="M14" s="1">
        <v>31</v>
      </c>
      <c r="N14" s="1">
        <v>213452</v>
      </c>
      <c r="O14" s="1">
        <v>42156</v>
      </c>
      <c r="P14" s="1">
        <v>0</v>
      </c>
      <c r="Q14" s="1">
        <v>2069.7483022334227</v>
      </c>
      <c r="R14" s="1">
        <v>47370.008008008008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spans="1:23" x14ac:dyDescent="0.3">
      <c r="A15">
        <v>1984</v>
      </c>
      <c r="B15" s="1">
        <v>131846</v>
      </c>
      <c r="C15" s="1">
        <v>0</v>
      </c>
      <c r="D15" s="1">
        <v>885.04063841883874</v>
      </c>
      <c r="E15" s="1">
        <v>0</v>
      </c>
      <c r="F15" s="1">
        <v>0</v>
      </c>
      <c r="G15" s="1">
        <v>444.64113275609731</v>
      </c>
      <c r="H15" s="1">
        <v>6246</v>
      </c>
      <c r="I15" s="1">
        <v>0</v>
      </c>
      <c r="J15" s="1">
        <v>30516</v>
      </c>
      <c r="K15" s="1">
        <v>424123</v>
      </c>
      <c r="L15" s="1">
        <v>0</v>
      </c>
      <c r="M15" s="1">
        <v>937</v>
      </c>
      <c r="N15" s="1">
        <v>303542.49285056273</v>
      </c>
      <c r="O15" s="1">
        <v>271017.61961961963</v>
      </c>
      <c r="P15" s="1">
        <v>0</v>
      </c>
      <c r="Q15" s="1">
        <v>471</v>
      </c>
      <c r="R15" s="1">
        <v>71763.859214279481</v>
      </c>
      <c r="S15" s="1">
        <v>651</v>
      </c>
      <c r="T15" s="1">
        <v>0</v>
      </c>
      <c r="U15" s="1">
        <v>0</v>
      </c>
      <c r="V15" s="1">
        <v>0</v>
      </c>
      <c r="W15" s="1">
        <v>0</v>
      </c>
    </row>
    <row r="16" spans="1:23" x14ac:dyDescent="0.3">
      <c r="A16">
        <v>1985</v>
      </c>
      <c r="B16" s="1">
        <v>679260</v>
      </c>
      <c r="C16" s="1">
        <v>169</v>
      </c>
      <c r="D16" s="1">
        <v>0</v>
      </c>
      <c r="E16" s="1">
        <v>0</v>
      </c>
      <c r="F16" s="1">
        <v>1084</v>
      </c>
      <c r="G16" s="1">
        <v>30165</v>
      </c>
      <c r="H16" s="1">
        <v>212</v>
      </c>
      <c r="I16" s="1">
        <v>189</v>
      </c>
      <c r="J16" s="1">
        <v>60235.100315519587</v>
      </c>
      <c r="K16" s="1">
        <v>784913.71293310379</v>
      </c>
      <c r="L16" s="1">
        <v>494</v>
      </c>
      <c r="M16" s="1">
        <v>595</v>
      </c>
      <c r="N16" s="1">
        <v>493743.32104822976</v>
      </c>
      <c r="O16" s="1">
        <v>421971.86172933213</v>
      </c>
      <c r="P16" s="1">
        <v>0</v>
      </c>
      <c r="Q16" s="1">
        <v>461.80483330716339</v>
      </c>
      <c r="R16" s="1">
        <v>43998.123449177932</v>
      </c>
      <c r="S16" s="1">
        <v>0</v>
      </c>
      <c r="T16" s="1">
        <v>0</v>
      </c>
      <c r="U16" s="1">
        <v>41.947389000000001</v>
      </c>
      <c r="V16" s="1">
        <v>0</v>
      </c>
      <c r="W16" s="1">
        <v>0</v>
      </c>
    </row>
    <row r="17" spans="1:23" x14ac:dyDescent="0.3">
      <c r="A17">
        <v>1986</v>
      </c>
      <c r="B17" s="1">
        <v>528415</v>
      </c>
      <c r="C17" s="1">
        <v>0</v>
      </c>
      <c r="D17" s="1">
        <v>893</v>
      </c>
      <c r="E17" s="1">
        <v>0</v>
      </c>
      <c r="F17" s="1">
        <v>15518.538446364817</v>
      </c>
      <c r="G17" s="1">
        <v>39108.528478733067</v>
      </c>
      <c r="H17" s="1">
        <v>978</v>
      </c>
      <c r="I17" s="1">
        <v>105</v>
      </c>
      <c r="J17" s="1">
        <v>57973.909102683429</v>
      </c>
      <c r="K17" s="1">
        <v>835214.41429092083</v>
      </c>
      <c r="L17" s="1">
        <v>1162</v>
      </c>
      <c r="M17" s="1">
        <v>0</v>
      </c>
      <c r="N17" s="1">
        <v>114861.84875827331</v>
      </c>
      <c r="O17" s="1">
        <v>655219.33483647928</v>
      </c>
      <c r="P17" s="1">
        <v>0</v>
      </c>
      <c r="Q17" s="1">
        <v>563</v>
      </c>
      <c r="R17" s="1">
        <v>60240</v>
      </c>
      <c r="S17" s="1">
        <v>325</v>
      </c>
      <c r="T17" s="1">
        <v>0</v>
      </c>
      <c r="U17" s="1">
        <v>147</v>
      </c>
      <c r="V17" s="1">
        <v>1623</v>
      </c>
      <c r="W17" s="1">
        <v>0</v>
      </c>
    </row>
    <row r="18" spans="1:23" x14ac:dyDescent="0.3">
      <c r="A18">
        <v>1987</v>
      </c>
      <c r="B18" s="1">
        <v>412157</v>
      </c>
      <c r="C18" s="1">
        <v>106</v>
      </c>
      <c r="D18" s="1">
        <v>5975.9729454291073</v>
      </c>
      <c r="E18" s="1">
        <v>201</v>
      </c>
      <c r="F18" s="1">
        <v>17066.73332610444</v>
      </c>
      <c r="G18" s="1">
        <v>24702.960549315616</v>
      </c>
      <c r="H18" s="1">
        <v>1737</v>
      </c>
      <c r="I18" s="1">
        <v>0</v>
      </c>
      <c r="J18" s="1">
        <v>549.85804611289223</v>
      </c>
      <c r="K18" s="1">
        <v>226552.01758416221</v>
      </c>
      <c r="L18" s="1">
        <v>2373</v>
      </c>
      <c r="M18" s="1">
        <v>0</v>
      </c>
      <c r="N18" s="1">
        <v>23389</v>
      </c>
      <c r="O18" s="1">
        <v>320723</v>
      </c>
      <c r="P18" s="1">
        <v>0</v>
      </c>
      <c r="Q18" s="1">
        <v>79.468532580606691</v>
      </c>
      <c r="R18" s="1">
        <v>54451.272510000003</v>
      </c>
      <c r="S18" s="1">
        <v>1600.061344571224</v>
      </c>
      <c r="T18" s="1">
        <v>0</v>
      </c>
      <c r="U18" s="1">
        <v>0</v>
      </c>
      <c r="V18" s="1">
        <v>0</v>
      </c>
      <c r="W18" s="1">
        <v>0</v>
      </c>
    </row>
    <row r="19" spans="1:23" x14ac:dyDescent="0.3">
      <c r="A19">
        <v>1988</v>
      </c>
      <c r="B19" s="1">
        <v>282306</v>
      </c>
      <c r="C19" s="1">
        <v>0</v>
      </c>
      <c r="D19" s="1">
        <v>2530.9407391343198</v>
      </c>
      <c r="E19" s="1">
        <v>111</v>
      </c>
      <c r="F19" s="1">
        <v>2423.7136724650272</v>
      </c>
      <c r="G19" s="1">
        <v>4649.0043750067571</v>
      </c>
      <c r="H19" s="1">
        <v>1512</v>
      </c>
      <c r="I19" s="1">
        <v>0</v>
      </c>
      <c r="J19" s="1">
        <v>3127</v>
      </c>
      <c r="K19" s="1">
        <v>189196</v>
      </c>
      <c r="L19" s="1">
        <v>7249</v>
      </c>
      <c r="M19" s="1">
        <v>0</v>
      </c>
      <c r="N19" s="1">
        <v>71077.882036507945</v>
      </c>
      <c r="O19" s="1">
        <v>212648.56680999999</v>
      </c>
      <c r="P19" s="1">
        <v>0</v>
      </c>
      <c r="Q19" s="1">
        <v>0</v>
      </c>
      <c r="R19" s="1">
        <v>16740</v>
      </c>
      <c r="S19" s="1">
        <v>0</v>
      </c>
      <c r="T19" s="1">
        <v>0</v>
      </c>
      <c r="U19" s="1">
        <v>0</v>
      </c>
      <c r="V19" s="1">
        <v>9</v>
      </c>
      <c r="W19" s="1">
        <v>0</v>
      </c>
    </row>
    <row r="20" spans="1:23" x14ac:dyDescent="0.3">
      <c r="A20">
        <v>1989</v>
      </c>
      <c r="B20" s="1">
        <v>758893</v>
      </c>
      <c r="C20" s="1">
        <v>0</v>
      </c>
      <c r="D20" s="1">
        <v>3554.5003201573918</v>
      </c>
      <c r="E20" s="1">
        <v>799</v>
      </c>
      <c r="F20" s="1">
        <v>3717</v>
      </c>
      <c r="G20" s="1">
        <v>5909</v>
      </c>
      <c r="H20" s="1">
        <v>12607</v>
      </c>
      <c r="I20" s="1">
        <v>0</v>
      </c>
      <c r="J20" s="1">
        <v>3301.9671149367646</v>
      </c>
      <c r="K20" s="1">
        <v>308439.38080784003</v>
      </c>
      <c r="L20" s="1">
        <v>6233.38933</v>
      </c>
      <c r="M20" s="1">
        <v>0</v>
      </c>
      <c r="N20" s="1">
        <v>151212</v>
      </c>
      <c r="O20" s="1">
        <v>214110</v>
      </c>
      <c r="P20" s="1">
        <v>0</v>
      </c>
      <c r="Q20" s="1">
        <v>0</v>
      </c>
      <c r="R20" s="1">
        <v>12030</v>
      </c>
      <c r="S20" s="1">
        <v>950</v>
      </c>
      <c r="T20" s="1">
        <v>0</v>
      </c>
      <c r="U20" s="1">
        <v>0</v>
      </c>
      <c r="V20" s="1">
        <v>0</v>
      </c>
      <c r="W20" s="1">
        <v>0</v>
      </c>
    </row>
    <row r="21" spans="1:23" x14ac:dyDescent="0.3">
      <c r="A21">
        <v>1990</v>
      </c>
      <c r="B21" s="1">
        <v>541891</v>
      </c>
      <c r="C21" s="1">
        <v>0</v>
      </c>
      <c r="D21" s="1">
        <v>3591</v>
      </c>
      <c r="E21" s="1">
        <v>971</v>
      </c>
      <c r="F21" s="1">
        <v>6292.2719780525404</v>
      </c>
      <c r="G21" s="1">
        <v>16995.037034905137</v>
      </c>
      <c r="H21" s="1">
        <v>3240.7995018247125</v>
      </c>
      <c r="I21" s="1">
        <v>0</v>
      </c>
      <c r="J21" s="1">
        <v>10310</v>
      </c>
      <c r="K21" s="1">
        <v>447371</v>
      </c>
      <c r="L21" s="1">
        <v>1085</v>
      </c>
      <c r="M21" s="1">
        <v>18</v>
      </c>
      <c r="N21" s="1">
        <v>52479</v>
      </c>
      <c r="O21" s="1">
        <v>80226</v>
      </c>
      <c r="P21" s="1">
        <v>0</v>
      </c>
      <c r="Q21" s="1">
        <v>591</v>
      </c>
      <c r="R21" s="1">
        <v>62392</v>
      </c>
      <c r="S21" s="1">
        <v>1095</v>
      </c>
      <c r="T21" s="1">
        <v>0</v>
      </c>
      <c r="U21" s="1">
        <v>0</v>
      </c>
      <c r="V21" s="1">
        <v>63.579913907351084</v>
      </c>
      <c r="W21" s="1">
        <v>0</v>
      </c>
    </row>
    <row r="22" spans="1:23" x14ac:dyDescent="0.3">
      <c r="A22">
        <v>1991</v>
      </c>
      <c r="B22" s="1">
        <v>831970</v>
      </c>
      <c r="C22" s="1">
        <v>0</v>
      </c>
      <c r="D22" s="1">
        <v>7112.8345577343989</v>
      </c>
      <c r="E22" s="1">
        <v>340.32872778735634</v>
      </c>
      <c r="F22" s="1">
        <v>2879</v>
      </c>
      <c r="G22" s="1">
        <v>16292</v>
      </c>
      <c r="H22" s="1">
        <v>3023</v>
      </c>
      <c r="I22" s="1">
        <v>0</v>
      </c>
      <c r="J22" s="1">
        <v>8568</v>
      </c>
      <c r="K22" s="1">
        <v>340535</v>
      </c>
      <c r="L22" s="1">
        <v>4731</v>
      </c>
      <c r="M22" s="1">
        <v>52</v>
      </c>
      <c r="N22" s="1">
        <v>191311</v>
      </c>
      <c r="O22" s="1">
        <v>85334</v>
      </c>
      <c r="P22" s="1">
        <v>0</v>
      </c>
      <c r="Q22" s="1">
        <v>951.60635327556702</v>
      </c>
      <c r="R22" s="1">
        <v>13107.492233267012</v>
      </c>
      <c r="S22" s="1">
        <v>658.73997840541824</v>
      </c>
      <c r="T22" s="1">
        <v>0</v>
      </c>
      <c r="U22" s="1">
        <v>110.592404</v>
      </c>
      <c r="V22" s="1">
        <v>0</v>
      </c>
      <c r="W22" s="1">
        <v>0</v>
      </c>
    </row>
    <row r="23" spans="1:23" x14ac:dyDescent="0.3">
      <c r="A23">
        <v>1992</v>
      </c>
      <c r="B23" s="1">
        <v>614262</v>
      </c>
      <c r="C23" s="1">
        <v>0</v>
      </c>
      <c r="D23" s="1">
        <v>1567</v>
      </c>
      <c r="E23" s="1">
        <v>1923</v>
      </c>
      <c r="F23" s="1">
        <v>0</v>
      </c>
      <c r="G23" s="1">
        <v>3880</v>
      </c>
      <c r="H23" s="1">
        <v>6759</v>
      </c>
      <c r="I23" s="1">
        <v>0</v>
      </c>
      <c r="J23" s="1">
        <v>12234</v>
      </c>
      <c r="K23" s="1">
        <v>57188</v>
      </c>
      <c r="L23" s="1">
        <v>5043</v>
      </c>
      <c r="M23" s="1">
        <v>0</v>
      </c>
      <c r="N23" s="1">
        <v>76196.118264122822</v>
      </c>
      <c r="O23" s="1">
        <v>138986.5633401805</v>
      </c>
      <c r="P23" s="1">
        <v>0</v>
      </c>
      <c r="Q23" s="1">
        <v>513.31529908575953</v>
      </c>
      <c r="R23" s="1">
        <v>28378.824992000002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  <row r="24" spans="1:23" x14ac:dyDescent="0.3">
      <c r="A24">
        <v>1993</v>
      </c>
      <c r="B24" s="1">
        <v>396288</v>
      </c>
      <c r="C24" s="1">
        <v>0</v>
      </c>
      <c r="D24" s="1">
        <v>0</v>
      </c>
      <c r="E24" s="1">
        <v>1501</v>
      </c>
      <c r="F24" s="1">
        <v>2860</v>
      </c>
      <c r="G24" s="1">
        <v>3550</v>
      </c>
      <c r="H24" s="1">
        <v>17168</v>
      </c>
      <c r="I24" s="1">
        <v>0</v>
      </c>
      <c r="J24" s="1">
        <v>11541.123562986078</v>
      </c>
      <c r="K24" s="1">
        <v>412757.75824715581</v>
      </c>
      <c r="L24" s="1">
        <v>1362</v>
      </c>
      <c r="M24" s="1">
        <v>36.032813181971051</v>
      </c>
      <c r="N24" s="1">
        <v>202912.77587116996</v>
      </c>
      <c r="O24" s="1">
        <v>75590.505556000004</v>
      </c>
      <c r="P24" s="1">
        <v>0</v>
      </c>
      <c r="Q24" s="1">
        <v>0</v>
      </c>
      <c r="R24" s="1">
        <v>23522.645179683404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</row>
    <row r="25" spans="1:23" x14ac:dyDescent="0.3">
      <c r="A25">
        <v>1994</v>
      </c>
      <c r="B25" s="1">
        <v>587258</v>
      </c>
      <c r="C25" s="1">
        <v>0</v>
      </c>
      <c r="D25" s="1">
        <v>0</v>
      </c>
      <c r="E25" s="1">
        <v>198</v>
      </c>
      <c r="F25" s="1">
        <v>1191.9458268156445</v>
      </c>
      <c r="G25" s="1">
        <v>24717.965766972957</v>
      </c>
      <c r="H25" s="1">
        <v>4323.0503816793889</v>
      </c>
      <c r="I25" s="1">
        <v>0</v>
      </c>
      <c r="J25" s="1">
        <v>17261.422054458504</v>
      </c>
      <c r="K25" s="1">
        <v>616349.83376968582</v>
      </c>
      <c r="L25" s="1">
        <v>1008.022832</v>
      </c>
      <c r="M25" s="1">
        <v>0</v>
      </c>
      <c r="N25" s="1">
        <v>159094.10993570345</v>
      </c>
      <c r="O25" s="1">
        <v>109890.17540848188</v>
      </c>
      <c r="P25" s="1">
        <v>0</v>
      </c>
      <c r="Q25" s="1">
        <v>551.35465492881372</v>
      </c>
      <c r="R25" s="1">
        <v>41273.555450548694</v>
      </c>
      <c r="S25" s="1">
        <v>821.22396886140768</v>
      </c>
      <c r="T25" s="1">
        <v>0</v>
      </c>
      <c r="U25" s="1">
        <v>127.64060000000001</v>
      </c>
      <c r="V25" s="1">
        <v>0</v>
      </c>
      <c r="W25" s="1">
        <v>0</v>
      </c>
    </row>
    <row r="26" spans="1:23" x14ac:dyDescent="0.3">
      <c r="A26">
        <v>1995</v>
      </c>
      <c r="B26" s="1">
        <v>504977</v>
      </c>
      <c r="C26" s="1">
        <v>0</v>
      </c>
      <c r="D26" s="1">
        <v>1155.7302541483989</v>
      </c>
      <c r="E26" s="1">
        <v>0</v>
      </c>
      <c r="F26" s="1">
        <v>3218.9181590572716</v>
      </c>
      <c r="G26" s="1">
        <v>48766.114759828743</v>
      </c>
      <c r="H26" s="1">
        <v>8684.585423030303</v>
      </c>
      <c r="I26" s="1">
        <v>0</v>
      </c>
      <c r="J26" s="1">
        <v>1838.906856484095</v>
      </c>
      <c r="K26" s="1">
        <v>353856.77968989464</v>
      </c>
      <c r="L26" s="1">
        <v>5252</v>
      </c>
      <c r="M26" s="1">
        <v>0</v>
      </c>
      <c r="N26" s="1">
        <v>390879.55235025147</v>
      </c>
      <c r="O26" s="1">
        <v>129215.66503389993</v>
      </c>
      <c r="P26" s="1">
        <v>0</v>
      </c>
      <c r="Q26" s="1">
        <v>423.88648268078555</v>
      </c>
      <c r="R26" s="1">
        <v>28253.4123</v>
      </c>
      <c r="S26" s="1">
        <v>405.07865562461302</v>
      </c>
      <c r="T26" s="1">
        <v>0</v>
      </c>
      <c r="U26" s="1">
        <v>284</v>
      </c>
      <c r="V26" s="1">
        <v>1384</v>
      </c>
      <c r="W26" s="1">
        <v>0</v>
      </c>
    </row>
    <row r="27" spans="1:23" x14ac:dyDescent="0.3">
      <c r="A27">
        <v>1996</v>
      </c>
      <c r="B27" s="1">
        <v>323969</v>
      </c>
      <c r="C27" s="1">
        <v>0</v>
      </c>
      <c r="D27" s="1">
        <v>540.4679975260641</v>
      </c>
      <c r="E27" s="1">
        <v>633.04255175757578</v>
      </c>
      <c r="F27" s="1">
        <v>0</v>
      </c>
      <c r="G27" s="1">
        <v>2969.9386123880495</v>
      </c>
      <c r="H27" s="1">
        <v>107.5564142194745</v>
      </c>
      <c r="I27" s="1">
        <v>0</v>
      </c>
      <c r="J27" s="1">
        <v>469.35619027644645</v>
      </c>
      <c r="K27" s="1">
        <v>283071.18226725206</v>
      </c>
      <c r="L27" s="1">
        <v>2817</v>
      </c>
      <c r="M27" s="1">
        <v>0</v>
      </c>
      <c r="N27" s="1">
        <v>149444.68580000001</v>
      </c>
      <c r="O27" s="1">
        <v>139819.99850000002</v>
      </c>
      <c r="P27" s="1">
        <v>0</v>
      </c>
      <c r="Q27" s="1">
        <v>0</v>
      </c>
      <c r="R27" s="1">
        <v>83431</v>
      </c>
      <c r="S27" s="1">
        <v>0</v>
      </c>
      <c r="T27" s="1">
        <v>0</v>
      </c>
      <c r="U27" s="1">
        <v>0</v>
      </c>
      <c r="V27" s="1">
        <v>934</v>
      </c>
      <c r="W27" s="1">
        <v>0</v>
      </c>
    </row>
    <row r="28" spans="1:23" x14ac:dyDescent="0.3">
      <c r="A28">
        <v>1997</v>
      </c>
      <c r="B28" s="1">
        <v>311902</v>
      </c>
      <c r="C28" s="1">
        <v>0</v>
      </c>
      <c r="D28" s="1">
        <v>0</v>
      </c>
      <c r="E28" s="1">
        <v>407</v>
      </c>
      <c r="F28" s="1">
        <v>0</v>
      </c>
      <c r="G28" s="1">
        <v>1473.3549040014016</v>
      </c>
      <c r="H28" s="1">
        <v>21820.797830018084</v>
      </c>
      <c r="I28" s="1">
        <v>0</v>
      </c>
      <c r="J28" s="1">
        <v>291.2545964522115</v>
      </c>
      <c r="K28" s="1">
        <v>494043.26800000004</v>
      </c>
      <c r="L28" s="1">
        <v>18682.159200000002</v>
      </c>
      <c r="M28" s="1">
        <v>0</v>
      </c>
      <c r="N28" s="1">
        <v>268631</v>
      </c>
      <c r="O28" s="1">
        <v>235707</v>
      </c>
      <c r="P28" s="1">
        <v>0</v>
      </c>
      <c r="Q28" s="1">
        <v>0</v>
      </c>
      <c r="R28" s="1">
        <v>12330</v>
      </c>
      <c r="S28" s="1">
        <v>0</v>
      </c>
      <c r="T28" s="1">
        <v>0</v>
      </c>
      <c r="U28" s="1">
        <v>421</v>
      </c>
      <c r="V28" s="1">
        <v>0</v>
      </c>
      <c r="W28" s="1">
        <v>0</v>
      </c>
    </row>
    <row r="29" spans="1:23" x14ac:dyDescent="0.3">
      <c r="A29">
        <v>1998</v>
      </c>
      <c r="B29" s="1">
        <v>384848</v>
      </c>
      <c r="C29" s="1">
        <v>0</v>
      </c>
      <c r="D29" s="1">
        <v>0</v>
      </c>
      <c r="E29" s="1">
        <v>135.5012658227848</v>
      </c>
      <c r="F29" s="1">
        <v>0</v>
      </c>
      <c r="G29" s="1">
        <v>585.51868421058714</v>
      </c>
      <c r="H29" s="1">
        <v>33786.827140393449</v>
      </c>
      <c r="I29" s="1">
        <v>1399</v>
      </c>
      <c r="J29" s="1">
        <v>2716</v>
      </c>
      <c r="K29" s="1">
        <v>923141</v>
      </c>
      <c r="L29" s="1">
        <v>8407</v>
      </c>
      <c r="M29" s="1">
        <v>0</v>
      </c>
      <c r="N29" s="1">
        <v>78063</v>
      </c>
      <c r="O29" s="1">
        <v>143454</v>
      </c>
      <c r="P29" s="1">
        <v>0</v>
      </c>
      <c r="Q29" s="1">
        <v>0</v>
      </c>
      <c r="R29" s="1">
        <v>12558</v>
      </c>
      <c r="S29" s="1">
        <v>0</v>
      </c>
      <c r="T29" s="1">
        <v>0</v>
      </c>
      <c r="U29" s="1">
        <v>0</v>
      </c>
      <c r="V29" s="1">
        <v>284</v>
      </c>
      <c r="W29" s="1">
        <v>0</v>
      </c>
    </row>
    <row r="30" spans="1:23" x14ac:dyDescent="0.3">
      <c r="A30">
        <v>1999</v>
      </c>
      <c r="B30" s="1">
        <v>589119</v>
      </c>
      <c r="C30" s="1">
        <v>0</v>
      </c>
      <c r="D30" s="1">
        <v>0</v>
      </c>
      <c r="E30" s="1">
        <v>0</v>
      </c>
      <c r="F30" s="1">
        <v>0</v>
      </c>
      <c r="G30" s="1">
        <v>25117</v>
      </c>
      <c r="H30" s="1">
        <v>41401</v>
      </c>
      <c r="I30" s="1">
        <v>0</v>
      </c>
      <c r="J30" s="1">
        <v>7645</v>
      </c>
      <c r="K30" s="1">
        <v>403399</v>
      </c>
      <c r="L30" s="1">
        <v>3410</v>
      </c>
      <c r="M30" s="1">
        <v>85</v>
      </c>
      <c r="N30" s="1">
        <v>154603</v>
      </c>
      <c r="O30" s="1">
        <v>210642</v>
      </c>
      <c r="P30" s="1">
        <v>0</v>
      </c>
      <c r="Q30" s="1">
        <v>0</v>
      </c>
      <c r="R30" s="1">
        <v>65446</v>
      </c>
      <c r="S30" s="1">
        <v>0</v>
      </c>
      <c r="T30" s="1">
        <v>0</v>
      </c>
      <c r="U30" s="1">
        <v>208</v>
      </c>
      <c r="V30" s="1">
        <v>94</v>
      </c>
      <c r="W30" s="1">
        <v>0</v>
      </c>
    </row>
    <row r="31" spans="1:23" x14ac:dyDescent="0.3">
      <c r="A31">
        <v>2000</v>
      </c>
      <c r="B31" s="1">
        <v>445393</v>
      </c>
      <c r="C31" s="1">
        <v>154.83529999999999</v>
      </c>
      <c r="D31" s="1">
        <v>669</v>
      </c>
      <c r="E31" s="1">
        <v>51</v>
      </c>
      <c r="F31" s="1">
        <v>3376</v>
      </c>
      <c r="G31" s="1">
        <v>6049</v>
      </c>
      <c r="H31" s="1">
        <v>270</v>
      </c>
      <c r="I31" s="1">
        <v>0</v>
      </c>
      <c r="J31" s="1">
        <v>1126</v>
      </c>
      <c r="K31" s="1">
        <v>531303</v>
      </c>
      <c r="L31" s="1">
        <v>2955</v>
      </c>
      <c r="M31" s="1">
        <v>0</v>
      </c>
      <c r="N31" s="1">
        <v>292380</v>
      </c>
      <c r="O31" s="1">
        <v>55025</v>
      </c>
      <c r="P31" s="1">
        <v>0</v>
      </c>
      <c r="Q31" s="1">
        <v>2875</v>
      </c>
      <c r="R31" s="1">
        <v>100967</v>
      </c>
      <c r="S31" s="1">
        <v>1046</v>
      </c>
      <c r="T31" s="1">
        <v>0</v>
      </c>
      <c r="U31" s="1">
        <v>4014</v>
      </c>
      <c r="V31" s="1">
        <v>0</v>
      </c>
      <c r="W31" s="1">
        <v>10</v>
      </c>
    </row>
    <row r="32" spans="1:23" x14ac:dyDescent="0.3">
      <c r="A32">
        <v>2001</v>
      </c>
      <c r="B32" s="1">
        <v>524739</v>
      </c>
      <c r="C32" s="1">
        <v>0</v>
      </c>
      <c r="D32" s="1">
        <v>0</v>
      </c>
      <c r="E32" s="1">
        <v>0</v>
      </c>
      <c r="F32" s="1">
        <v>0</v>
      </c>
      <c r="G32" s="1">
        <v>2543</v>
      </c>
      <c r="H32" s="1">
        <v>5375</v>
      </c>
      <c r="I32" s="1">
        <v>0</v>
      </c>
      <c r="J32" s="1">
        <v>2611</v>
      </c>
      <c r="K32" s="1">
        <v>132216</v>
      </c>
      <c r="L32" s="1">
        <v>3786</v>
      </c>
      <c r="M32" s="1">
        <v>0</v>
      </c>
      <c r="N32" s="1">
        <v>305575</v>
      </c>
      <c r="O32" s="1">
        <v>113907</v>
      </c>
      <c r="P32" s="1">
        <v>0</v>
      </c>
      <c r="Q32" s="1">
        <v>13374</v>
      </c>
      <c r="R32" s="1">
        <v>38224</v>
      </c>
      <c r="S32" s="1">
        <v>0</v>
      </c>
      <c r="T32" s="1">
        <v>21</v>
      </c>
      <c r="U32" s="1">
        <v>231</v>
      </c>
      <c r="V32" s="1">
        <v>10</v>
      </c>
      <c r="W32" s="1">
        <v>0</v>
      </c>
    </row>
    <row r="33" spans="1:23" x14ac:dyDescent="0.3">
      <c r="A33">
        <v>2002</v>
      </c>
      <c r="B33" s="1">
        <v>408734</v>
      </c>
      <c r="C33" s="1">
        <v>0</v>
      </c>
      <c r="D33" s="1">
        <v>0</v>
      </c>
      <c r="E33" s="1">
        <v>62</v>
      </c>
      <c r="F33" s="1">
        <v>2790</v>
      </c>
      <c r="G33" s="1">
        <v>3319</v>
      </c>
      <c r="H33" s="1">
        <v>12383</v>
      </c>
      <c r="I33" s="1">
        <v>0</v>
      </c>
      <c r="J33" s="1">
        <v>6844</v>
      </c>
      <c r="K33" s="1">
        <v>183353</v>
      </c>
      <c r="L33" s="1">
        <v>672</v>
      </c>
      <c r="M33" s="1">
        <v>361</v>
      </c>
      <c r="N33" s="1">
        <v>161086</v>
      </c>
      <c r="O33" s="1">
        <v>25895</v>
      </c>
      <c r="P33" s="1">
        <v>0</v>
      </c>
      <c r="Q33" s="1">
        <v>9</v>
      </c>
      <c r="R33" s="1">
        <v>14881</v>
      </c>
      <c r="S33" s="1">
        <v>99</v>
      </c>
      <c r="T33" s="1">
        <v>0</v>
      </c>
      <c r="U33" s="1">
        <v>0</v>
      </c>
      <c r="V33" s="1">
        <v>528</v>
      </c>
      <c r="W33" s="1">
        <v>0</v>
      </c>
    </row>
    <row r="34" spans="1:23" x14ac:dyDescent="0.3">
      <c r="A34">
        <v>2003</v>
      </c>
      <c r="B34" s="1">
        <v>626854</v>
      </c>
      <c r="C34" s="1">
        <v>0</v>
      </c>
      <c r="D34" s="1">
        <v>0</v>
      </c>
      <c r="E34" s="1">
        <v>208</v>
      </c>
      <c r="F34" s="1">
        <v>1750</v>
      </c>
      <c r="G34" s="1">
        <v>2494</v>
      </c>
      <c r="H34" s="1">
        <v>1544</v>
      </c>
      <c r="I34" s="1">
        <v>0</v>
      </c>
      <c r="J34" s="1">
        <v>1887</v>
      </c>
      <c r="K34" s="1">
        <v>41395</v>
      </c>
      <c r="L34" s="1">
        <v>2247</v>
      </c>
      <c r="M34" s="1">
        <v>0</v>
      </c>
      <c r="N34" s="1">
        <v>15635</v>
      </c>
      <c r="O34" s="1">
        <v>269401</v>
      </c>
      <c r="P34" s="1">
        <v>348</v>
      </c>
      <c r="Q34" s="1">
        <v>0</v>
      </c>
      <c r="R34" s="1">
        <v>5707</v>
      </c>
      <c r="S34" s="1">
        <v>10460</v>
      </c>
      <c r="T34" s="1">
        <v>0</v>
      </c>
      <c r="U34" s="1">
        <v>0</v>
      </c>
      <c r="V34" s="1">
        <v>1745.6203</v>
      </c>
      <c r="W34" s="1">
        <v>0</v>
      </c>
    </row>
    <row r="35" spans="1:23" x14ac:dyDescent="0.3">
      <c r="A35">
        <v>2004</v>
      </c>
      <c r="B35" s="1">
        <v>326466</v>
      </c>
      <c r="C35" s="1">
        <v>0</v>
      </c>
      <c r="D35" s="1">
        <v>277</v>
      </c>
      <c r="E35" s="1">
        <v>5</v>
      </c>
      <c r="F35" s="1">
        <v>301</v>
      </c>
      <c r="G35" s="1">
        <v>1998</v>
      </c>
      <c r="H35" s="1">
        <v>510</v>
      </c>
      <c r="I35" s="1">
        <v>0</v>
      </c>
      <c r="J35" s="1">
        <v>543</v>
      </c>
      <c r="K35" s="1">
        <v>15162</v>
      </c>
      <c r="L35" s="1">
        <v>10973</v>
      </c>
      <c r="M35" s="1">
        <v>0</v>
      </c>
      <c r="N35" s="1">
        <v>7084</v>
      </c>
      <c r="O35" s="1">
        <v>223546</v>
      </c>
      <c r="P35" s="1">
        <v>0</v>
      </c>
      <c r="Q35" s="1">
        <v>0</v>
      </c>
      <c r="R35" s="1">
        <v>8868.3788342546068</v>
      </c>
      <c r="S35" s="1">
        <v>2084.3334856860056</v>
      </c>
      <c r="T35" s="1">
        <v>0</v>
      </c>
      <c r="U35" s="1">
        <v>0</v>
      </c>
      <c r="V35" s="1">
        <v>0</v>
      </c>
      <c r="W35" s="1">
        <v>0</v>
      </c>
    </row>
    <row r="36" spans="1:23" x14ac:dyDescent="0.3">
      <c r="A36">
        <v>2005</v>
      </c>
      <c r="B36" s="1">
        <v>498102</v>
      </c>
      <c r="C36" s="1">
        <v>0</v>
      </c>
      <c r="D36" s="1">
        <v>3532</v>
      </c>
      <c r="E36" s="1">
        <v>63</v>
      </c>
      <c r="F36" s="1">
        <v>0</v>
      </c>
      <c r="G36" s="1">
        <v>423</v>
      </c>
      <c r="H36" s="1">
        <v>2022</v>
      </c>
      <c r="I36" s="1">
        <v>0</v>
      </c>
      <c r="J36" s="1">
        <v>544</v>
      </c>
      <c r="K36" s="1">
        <v>63514</v>
      </c>
      <c r="L36" s="1">
        <v>768</v>
      </c>
      <c r="M36" s="1">
        <v>0</v>
      </c>
      <c r="N36" s="1">
        <v>20542.919687132191</v>
      </c>
      <c r="O36" s="1">
        <v>72928.640328529</v>
      </c>
      <c r="P36" s="1">
        <v>0</v>
      </c>
      <c r="Q36" s="1">
        <v>0</v>
      </c>
      <c r="R36" s="1">
        <v>3928.9144999999999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</row>
    <row r="37" spans="1:23" x14ac:dyDescent="0.3">
      <c r="A37">
        <v>2006</v>
      </c>
      <c r="B37" s="1">
        <v>288007</v>
      </c>
      <c r="C37" s="1">
        <v>0</v>
      </c>
      <c r="D37" s="1">
        <v>0</v>
      </c>
      <c r="E37" s="1">
        <v>15</v>
      </c>
      <c r="F37" s="1">
        <v>0</v>
      </c>
      <c r="G37" s="1">
        <v>1734</v>
      </c>
      <c r="H37" s="1">
        <v>2029</v>
      </c>
      <c r="I37" s="1">
        <v>0</v>
      </c>
      <c r="J37" s="1">
        <v>1552.9306935359393</v>
      </c>
      <c r="K37" s="1">
        <v>123393.68929004158</v>
      </c>
      <c r="L37" s="1">
        <v>11964.704797137201</v>
      </c>
      <c r="M37" s="1">
        <v>33.92765</v>
      </c>
      <c r="N37" s="1">
        <v>38310.769756560127</v>
      </c>
      <c r="O37" s="1">
        <v>73029.79985000001</v>
      </c>
      <c r="P37" s="1">
        <v>0</v>
      </c>
      <c r="Q37" s="1">
        <v>58.792128965104453</v>
      </c>
      <c r="R37" s="1">
        <v>7613.4530000000004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</row>
    <row r="38" spans="1:23" x14ac:dyDescent="0.3">
      <c r="A38">
        <v>2007</v>
      </c>
      <c r="B38" s="1">
        <v>251835</v>
      </c>
      <c r="C38" s="1">
        <v>0</v>
      </c>
      <c r="D38" s="1">
        <v>0</v>
      </c>
      <c r="E38" s="1">
        <v>81</v>
      </c>
      <c r="F38" s="1">
        <v>2235.3720273247286</v>
      </c>
      <c r="G38" s="1">
        <v>3206.7786249493161</v>
      </c>
      <c r="H38" s="1">
        <v>18490.48629818255</v>
      </c>
      <c r="I38" s="1">
        <v>0</v>
      </c>
      <c r="J38" s="1">
        <v>6172.6930218105572</v>
      </c>
      <c r="K38" s="1">
        <v>452111.95145658095</v>
      </c>
      <c r="L38" s="1">
        <v>216.54450000000003</v>
      </c>
      <c r="M38" s="1">
        <v>0.25440915867862773</v>
      </c>
      <c r="N38" s="1">
        <v>183110.8627</v>
      </c>
      <c r="O38" s="1">
        <v>64436.972500000003</v>
      </c>
      <c r="P38" s="1">
        <v>0</v>
      </c>
      <c r="Q38" s="1">
        <v>900.92619183460351</v>
      </c>
      <c r="R38" s="1">
        <v>9434.7728999999999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 spans="1:23" x14ac:dyDescent="0.3">
      <c r="A39">
        <v>2008</v>
      </c>
      <c r="B39" s="1">
        <v>164299</v>
      </c>
      <c r="C39" s="1">
        <v>0</v>
      </c>
      <c r="D39" s="1">
        <v>0</v>
      </c>
      <c r="E39" s="1">
        <v>0.20569999999999999</v>
      </c>
      <c r="F39" s="1">
        <v>33.92765</v>
      </c>
      <c r="G39" s="1">
        <v>8619.6993159290068</v>
      </c>
      <c r="H39" s="1">
        <v>6488.9260000000004</v>
      </c>
      <c r="I39" s="1">
        <v>0.39053850420610525</v>
      </c>
      <c r="J39" s="1">
        <v>5738.0389054957323</v>
      </c>
      <c r="K39" s="1">
        <v>464655.47857635876</v>
      </c>
      <c r="L39" s="1">
        <v>507.58100000000002</v>
      </c>
      <c r="M39" s="1">
        <v>158.67033478137958</v>
      </c>
      <c r="N39" s="1">
        <v>215641.71617246291</v>
      </c>
      <c r="O39" s="1">
        <v>60733.466300000007</v>
      </c>
      <c r="P39" s="1">
        <v>0</v>
      </c>
      <c r="Q39" s="1">
        <v>154.14389999999997</v>
      </c>
      <c r="R39" s="1">
        <v>5957.7549657428153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</row>
    <row r="40" spans="1:23" x14ac:dyDescent="0.3">
      <c r="A40">
        <v>2009</v>
      </c>
      <c r="B40" s="1">
        <v>277280</v>
      </c>
      <c r="C40" s="1">
        <v>0</v>
      </c>
      <c r="D40" s="1">
        <v>500.60112394193277</v>
      </c>
      <c r="E40" s="1">
        <v>349.41454999999996</v>
      </c>
      <c r="F40" s="1">
        <v>6.9295361751975886</v>
      </c>
      <c r="G40" s="1">
        <v>14741.942909077416</v>
      </c>
      <c r="H40" s="1">
        <v>11321.522690482967</v>
      </c>
      <c r="I40" s="1">
        <v>0</v>
      </c>
      <c r="J40" s="1">
        <v>7406.5889791040181</v>
      </c>
      <c r="K40" s="1">
        <v>921554.37374156248</v>
      </c>
      <c r="L40" s="1">
        <v>6778.4104000000007</v>
      </c>
      <c r="M40" s="1">
        <v>0</v>
      </c>
      <c r="N40" s="1">
        <v>51166.675034681059</v>
      </c>
      <c r="O40" s="1">
        <v>74984.684161438548</v>
      </c>
      <c r="P40" s="1">
        <v>0</v>
      </c>
      <c r="Q40" s="1">
        <v>0</v>
      </c>
      <c r="R40" s="1">
        <v>1009.2959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</row>
    <row r="41" spans="1:23" x14ac:dyDescent="0.3">
      <c r="A41">
        <v>2010</v>
      </c>
      <c r="B41" s="1">
        <v>276649</v>
      </c>
      <c r="C41" s="1">
        <v>0</v>
      </c>
      <c r="D41" s="1">
        <v>202.57390000000001</v>
      </c>
      <c r="E41" s="1">
        <v>1019.6278622713844</v>
      </c>
      <c r="F41" s="1">
        <v>0</v>
      </c>
      <c r="G41" s="1">
        <v>34358.780419682844</v>
      </c>
      <c r="H41" s="1">
        <v>28965.533299999999</v>
      </c>
      <c r="I41" s="1">
        <v>0</v>
      </c>
      <c r="J41" s="1">
        <v>44157.882428979596</v>
      </c>
      <c r="K41" s="1">
        <v>578076.42303972598</v>
      </c>
      <c r="L41" s="1">
        <v>2578.0089000000003</v>
      </c>
      <c r="M41" s="1">
        <v>0</v>
      </c>
      <c r="N41" s="1">
        <v>29006.317053957191</v>
      </c>
      <c r="O41" s="1">
        <v>22456.4817</v>
      </c>
      <c r="P41" s="1">
        <v>0</v>
      </c>
      <c r="Q41" s="1">
        <v>0</v>
      </c>
      <c r="R41" s="1">
        <v>8442.5618250000007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</row>
    <row r="42" spans="1:23" x14ac:dyDescent="0.3">
      <c r="A42">
        <v>2011</v>
      </c>
      <c r="B42" s="1">
        <v>230273</v>
      </c>
      <c r="C42" s="1">
        <v>0</v>
      </c>
      <c r="D42" s="1">
        <v>0</v>
      </c>
      <c r="E42" s="1">
        <v>2428.4149000000002</v>
      </c>
      <c r="F42" s="1">
        <v>0</v>
      </c>
      <c r="G42" s="1">
        <v>35700.111507521353</v>
      </c>
      <c r="H42" s="1">
        <v>48035.15357004384</v>
      </c>
      <c r="I42" s="1">
        <v>0</v>
      </c>
      <c r="J42" s="1">
        <v>17984.202328369447</v>
      </c>
      <c r="K42" s="1">
        <v>645806.06698359991</v>
      </c>
      <c r="L42" s="1">
        <v>1551.1745000000001</v>
      </c>
      <c r="M42" s="1">
        <v>1275.9270597645009</v>
      </c>
      <c r="N42" s="1">
        <v>259899.6143771194</v>
      </c>
      <c r="O42" s="1">
        <v>19783.157605</v>
      </c>
      <c r="P42" s="1">
        <v>0</v>
      </c>
      <c r="Q42" s="1">
        <v>223.17895072842131</v>
      </c>
      <c r="R42" s="1">
        <v>686.78654999999992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</row>
    <row r="43" spans="1:23" x14ac:dyDescent="0.3">
      <c r="A43">
        <v>2012</v>
      </c>
      <c r="B43" s="1">
        <v>314605</v>
      </c>
      <c r="C43" s="1">
        <v>0</v>
      </c>
      <c r="D43" s="1">
        <v>0</v>
      </c>
      <c r="E43" s="1">
        <v>846.03800430102274</v>
      </c>
      <c r="F43" s="1">
        <v>77.076499999999996</v>
      </c>
      <c r="G43" s="1">
        <v>35768.501404218936</v>
      </c>
      <c r="H43" s="1">
        <v>21225.216700000004</v>
      </c>
      <c r="I43" s="1">
        <v>0</v>
      </c>
      <c r="J43" s="1">
        <v>67635.416440120665</v>
      </c>
      <c r="K43" s="1">
        <v>555032.66109932191</v>
      </c>
      <c r="L43" s="1">
        <v>2523.5693000000001</v>
      </c>
      <c r="M43" s="1">
        <v>618.74746853766669</v>
      </c>
      <c r="N43" s="1">
        <v>48224.501154894402</v>
      </c>
      <c r="O43" s="1">
        <v>55909.469150000004</v>
      </c>
      <c r="P43" s="1">
        <v>0</v>
      </c>
      <c r="Q43" s="1">
        <v>0</v>
      </c>
      <c r="R43" s="1">
        <v>6468.8609137766598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</row>
    <row r="44" spans="1:23" x14ac:dyDescent="0.3">
      <c r="A44">
        <v>2013</v>
      </c>
      <c r="B44" s="1">
        <v>336479</v>
      </c>
      <c r="C44" s="1">
        <v>0</v>
      </c>
      <c r="D44" s="1">
        <v>128.91739999999999</v>
      </c>
      <c r="E44" s="1">
        <v>1571.4355</v>
      </c>
      <c r="F44" s="1">
        <v>7261.4895947380019</v>
      </c>
      <c r="G44" s="1">
        <v>53487.273768077051</v>
      </c>
      <c r="H44" s="1">
        <v>47820.648679999998</v>
      </c>
      <c r="I44" s="1">
        <v>0</v>
      </c>
      <c r="J44" s="1">
        <v>13851.262792925583</v>
      </c>
      <c r="K44" s="1">
        <v>889227.50632839743</v>
      </c>
      <c r="L44" s="1">
        <v>3420.5531999999994</v>
      </c>
      <c r="M44" s="1">
        <v>0</v>
      </c>
      <c r="N44" s="1">
        <v>152902.80824776262</v>
      </c>
      <c r="O44" s="1">
        <v>58385.325265022257</v>
      </c>
      <c r="P44" s="1">
        <v>0</v>
      </c>
      <c r="Q44" s="1">
        <v>0</v>
      </c>
      <c r="R44" s="1">
        <v>6886.4719999999998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</row>
    <row r="45" spans="1:23" x14ac:dyDescent="0.3">
      <c r="A45">
        <v>2014</v>
      </c>
      <c r="B45" s="1">
        <v>543468.99979999999</v>
      </c>
      <c r="C45" s="1">
        <v>0</v>
      </c>
      <c r="D45" s="1">
        <v>3216.5436405151518</v>
      </c>
      <c r="E45" s="1">
        <v>2947.9570299999996</v>
      </c>
      <c r="F45" s="1">
        <v>46.617449999999998</v>
      </c>
      <c r="G45" s="1">
        <v>59006.850725077886</v>
      </c>
      <c r="H45" s="1">
        <v>9673.7162000000008</v>
      </c>
      <c r="I45" s="1">
        <v>0</v>
      </c>
      <c r="J45" s="1">
        <v>13087.693815858802</v>
      </c>
      <c r="K45" s="1">
        <v>411714.4661434975</v>
      </c>
      <c r="L45" s="1">
        <v>0</v>
      </c>
      <c r="M45" s="1">
        <v>0</v>
      </c>
      <c r="N45" s="1">
        <v>148916.74863675682</v>
      </c>
      <c r="O45" s="1">
        <v>23624.734</v>
      </c>
      <c r="P45" s="1">
        <v>0</v>
      </c>
      <c r="Q45" s="1">
        <v>0</v>
      </c>
      <c r="R45" s="1">
        <v>4150.7909999999993</v>
      </c>
      <c r="S45" s="1">
        <v>0</v>
      </c>
      <c r="T45" s="1">
        <v>0</v>
      </c>
      <c r="U45" s="1">
        <v>204.20901999999998</v>
      </c>
      <c r="V45" s="1">
        <v>0</v>
      </c>
      <c r="W45" s="1">
        <v>0</v>
      </c>
    </row>
    <row r="46" spans="1:23" x14ac:dyDescent="0.3">
      <c r="A46">
        <v>2015</v>
      </c>
      <c r="B46" s="1">
        <v>368896</v>
      </c>
      <c r="C46" s="1">
        <v>0</v>
      </c>
      <c r="D46" s="1">
        <v>3889.4747437936949</v>
      </c>
      <c r="E46" s="1">
        <v>1818.0490000000002</v>
      </c>
      <c r="F46" s="1">
        <v>19776.176651494425</v>
      </c>
      <c r="G46" s="1">
        <v>53275.607167951086</v>
      </c>
      <c r="H46" s="1">
        <v>18952.174378113214</v>
      </c>
      <c r="I46" s="1">
        <v>0</v>
      </c>
      <c r="J46" s="1">
        <v>27126.987786915044</v>
      </c>
      <c r="K46" s="1">
        <v>440615.29654539056</v>
      </c>
      <c r="L46" s="1">
        <v>4149.5489999999991</v>
      </c>
      <c r="M46" s="1">
        <v>0</v>
      </c>
      <c r="N46" s="1">
        <v>192276.21330003123</v>
      </c>
      <c r="O46" s="1">
        <v>39276.809000000001</v>
      </c>
      <c r="P46" s="1">
        <v>0</v>
      </c>
      <c r="Q46" s="1">
        <v>0</v>
      </c>
      <c r="R46" s="1">
        <v>2188.1062499999998</v>
      </c>
      <c r="S46" s="1">
        <v>0</v>
      </c>
      <c r="T46" s="1">
        <v>0</v>
      </c>
      <c r="U46" s="1">
        <v>22.299980000000001</v>
      </c>
      <c r="V46" s="1">
        <v>0</v>
      </c>
      <c r="W46" s="1">
        <v>0</v>
      </c>
    </row>
    <row r="47" spans="1:23" x14ac:dyDescent="0.3">
      <c r="A47">
        <v>2016</v>
      </c>
      <c r="B47" s="1">
        <v>314935</v>
      </c>
      <c r="C47" s="1">
        <v>0</v>
      </c>
      <c r="D47" s="1">
        <v>849.89198714175177</v>
      </c>
      <c r="E47" s="1">
        <v>1742.5276915298959</v>
      </c>
      <c r="F47" s="1">
        <v>0</v>
      </c>
      <c r="G47" s="1">
        <v>18294.430596046805</v>
      </c>
      <c r="H47" s="1">
        <v>9593.4352353756803</v>
      </c>
      <c r="I47" s="1">
        <v>0</v>
      </c>
      <c r="J47" s="1">
        <v>16504.205682172964</v>
      </c>
      <c r="K47" s="1">
        <v>413287.19570714951</v>
      </c>
      <c r="L47" s="1">
        <v>176.7</v>
      </c>
      <c r="M47" s="1">
        <v>0</v>
      </c>
      <c r="N47" s="1">
        <v>147266.76080714207</v>
      </c>
      <c r="O47" s="1">
        <v>19778.50102</v>
      </c>
      <c r="P47" s="1">
        <v>0</v>
      </c>
      <c r="Q47" s="1">
        <v>0</v>
      </c>
      <c r="R47" s="1">
        <v>7102.3639999999996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</row>
    <row r="48" spans="1:23" x14ac:dyDescent="0.3">
      <c r="A48">
        <v>2017</v>
      </c>
      <c r="B48" s="1">
        <v>385896</v>
      </c>
      <c r="C48" s="1">
        <v>0</v>
      </c>
      <c r="D48" s="1">
        <v>1990.2398748436663</v>
      </c>
      <c r="E48" s="1">
        <v>143.43734903054457</v>
      </c>
      <c r="F48" s="1">
        <v>26945.620739306898</v>
      </c>
      <c r="G48" s="1">
        <v>47069.33940056197</v>
      </c>
      <c r="H48" s="1">
        <v>25933.9</v>
      </c>
      <c r="I48" s="1">
        <v>0</v>
      </c>
      <c r="J48" s="1">
        <v>13545.469691296508</v>
      </c>
      <c r="K48" s="1">
        <v>365929.5658598243</v>
      </c>
      <c r="L48" s="1">
        <v>3757.6190799999995</v>
      </c>
      <c r="M48" s="1">
        <v>0</v>
      </c>
      <c r="N48" s="1">
        <v>255258.60988354502</v>
      </c>
      <c r="O48" s="1">
        <v>96147.099979999999</v>
      </c>
      <c r="P48" s="1">
        <v>0</v>
      </c>
      <c r="Q48" s="1">
        <v>0</v>
      </c>
      <c r="R48" s="1">
        <v>733.54299999999989</v>
      </c>
      <c r="S48" s="1">
        <v>0</v>
      </c>
      <c r="T48" s="1">
        <v>0</v>
      </c>
      <c r="U48" s="1">
        <v>0</v>
      </c>
      <c r="V48" s="1">
        <v>0</v>
      </c>
      <c r="W48" s="1"/>
    </row>
    <row r="49" spans="1:23" x14ac:dyDescent="0.3">
      <c r="A49">
        <v>2018</v>
      </c>
      <c r="B49" s="1">
        <v>428225</v>
      </c>
      <c r="C49" s="1">
        <v>0</v>
      </c>
      <c r="D49" s="1">
        <v>2832.4844520761785</v>
      </c>
      <c r="E49" s="1">
        <v>2136</v>
      </c>
      <c r="F49" s="1">
        <v>1500.4010791803462</v>
      </c>
      <c r="G49" s="1">
        <v>5496.1568515295594</v>
      </c>
      <c r="H49" s="1">
        <v>27267.555959999998</v>
      </c>
      <c r="I49" s="1">
        <v>0</v>
      </c>
      <c r="J49" s="1">
        <v>23498.787982628175</v>
      </c>
      <c r="K49" s="1">
        <v>1046019.9811060685</v>
      </c>
      <c r="L49" s="1">
        <v>19118.385869999998</v>
      </c>
      <c r="M49" s="1">
        <v>0</v>
      </c>
      <c r="N49" s="1">
        <v>30837.021203652381</v>
      </c>
      <c r="O49" s="1">
        <v>163535.40599999999</v>
      </c>
      <c r="P49" s="1">
        <v>0</v>
      </c>
      <c r="Q49" s="1">
        <v>0</v>
      </c>
      <c r="R49" s="1">
        <v>2017.9979999999998</v>
      </c>
      <c r="S49" s="1">
        <v>0</v>
      </c>
      <c r="T49" s="1"/>
      <c r="U49" s="1"/>
      <c r="V49" s="1"/>
      <c r="W49" s="1"/>
    </row>
    <row r="50" spans="1:23" x14ac:dyDescent="0.3">
      <c r="A50">
        <v>2019</v>
      </c>
      <c r="B50" s="1">
        <v>317381</v>
      </c>
      <c r="C50" s="1">
        <v>0</v>
      </c>
      <c r="D50" s="1">
        <v>813.36001457390716</v>
      </c>
      <c r="E50" s="1">
        <v>705.41067985392306</v>
      </c>
      <c r="F50" s="1">
        <v>3932.5837567887584</v>
      </c>
      <c r="G50" s="1">
        <v>10739.750893966255</v>
      </c>
      <c r="H50" s="1">
        <v>35604.307740000004</v>
      </c>
      <c r="I50" s="1">
        <v>0</v>
      </c>
      <c r="J50" s="1">
        <v>7813.4877852024674</v>
      </c>
      <c r="K50" s="1">
        <v>678283.01552623359</v>
      </c>
      <c r="L50" s="1">
        <v>818.35899999999992</v>
      </c>
      <c r="M50" s="1">
        <v>0</v>
      </c>
      <c r="N50" s="1">
        <v>42503.594767080664</v>
      </c>
      <c r="O50" s="1">
        <v>19622.357</v>
      </c>
      <c r="P50" s="1">
        <v>0</v>
      </c>
      <c r="Q50" s="1"/>
      <c r="R50" s="1"/>
      <c r="S50" s="1"/>
      <c r="T50" s="1"/>
      <c r="U50" s="1"/>
      <c r="V50" s="1"/>
      <c r="W50" s="1"/>
    </row>
    <row r="51" spans="1:23" x14ac:dyDescent="0.3">
      <c r="A51">
        <v>2020</v>
      </c>
      <c r="B51" s="1">
        <v>293147</v>
      </c>
      <c r="C51" s="1">
        <v>0</v>
      </c>
      <c r="D51" s="1">
        <v>0</v>
      </c>
      <c r="E51" s="1">
        <v>3227.1230534906999</v>
      </c>
      <c r="F51" s="1">
        <v>1374.2388531406823</v>
      </c>
      <c r="G51" s="1">
        <v>19751.249217922748</v>
      </c>
      <c r="H51" s="1">
        <v>13430.893</v>
      </c>
      <c r="I51" s="1">
        <v>0</v>
      </c>
      <c r="J51" s="1">
        <v>4439.8567521493696</v>
      </c>
      <c r="K51" s="1">
        <v>288019.4843493579</v>
      </c>
      <c r="L51" s="1">
        <v>1951.184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>
        <v>2021</v>
      </c>
      <c r="B52" s="1">
        <v>376209</v>
      </c>
      <c r="C52" s="1">
        <v>0</v>
      </c>
      <c r="D52" s="1">
        <v>0</v>
      </c>
      <c r="E52" s="1">
        <v>2174.5279999999998</v>
      </c>
      <c r="F52" s="1">
        <v>639.30842663757289</v>
      </c>
      <c r="G52" s="1">
        <v>9284.1394750857798</v>
      </c>
      <c r="H52" s="1">
        <v>8490.8230000000003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>
        <v>2022</v>
      </c>
      <c r="B53" s="1">
        <v>326801</v>
      </c>
      <c r="C53" s="1">
        <v>0</v>
      </c>
      <c r="D53" s="1">
        <v>0</v>
      </c>
      <c r="E53" s="1">
        <v>962.81200000000001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>
        <v>2023</v>
      </c>
      <c r="B54">
        <v>598660</v>
      </c>
      <c r="C54">
        <v>0</v>
      </c>
    </row>
    <row r="55" spans="1:23" x14ac:dyDescent="0.3">
      <c r="A55">
        <v>2024</v>
      </c>
      <c r="B55">
        <v>430771</v>
      </c>
    </row>
    <row r="56" spans="1:23" x14ac:dyDescent="0.3">
      <c r="A56">
        <v>2025</v>
      </c>
      <c r="B56">
        <v>200182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9456-373B-4DF9-A646-D6938C1516F2}">
  <dimension ref="A1:W56"/>
  <sheetViews>
    <sheetView topLeftCell="A28" workbookViewId="0">
      <selection activeCell="N62" sqref="N62"/>
    </sheetView>
  </sheetViews>
  <sheetFormatPr defaultRowHeight="14.4" x14ac:dyDescent="0.3"/>
  <sheetData>
    <row r="1" spans="1:23" x14ac:dyDescent="0.3">
      <c r="A1" t="s">
        <v>4</v>
      </c>
    </row>
    <row r="4" spans="1:23" x14ac:dyDescent="0.3">
      <c r="A4" t="s">
        <v>0</v>
      </c>
      <c r="L4" t="s">
        <v>1</v>
      </c>
    </row>
    <row r="5" spans="1:23" x14ac:dyDescent="0.3">
      <c r="A5" t="s">
        <v>2</v>
      </c>
      <c r="B5" t="s">
        <v>3</v>
      </c>
      <c r="C5">
        <v>0.1</v>
      </c>
      <c r="D5">
        <v>0.2</v>
      </c>
      <c r="E5">
        <v>1.1000000000000001</v>
      </c>
      <c r="F5">
        <v>0.3</v>
      </c>
      <c r="G5">
        <v>1.2</v>
      </c>
      <c r="H5">
        <v>2.1</v>
      </c>
      <c r="I5">
        <v>0.4</v>
      </c>
      <c r="J5">
        <v>1.3</v>
      </c>
      <c r="K5">
        <v>2.2000000000000002</v>
      </c>
      <c r="L5">
        <v>3.1</v>
      </c>
      <c r="M5">
        <v>1.4</v>
      </c>
      <c r="N5">
        <v>2.2999999999999998</v>
      </c>
      <c r="O5">
        <v>3.2</v>
      </c>
      <c r="P5">
        <v>4.0999999999999996</v>
      </c>
      <c r="Q5">
        <v>2.4</v>
      </c>
      <c r="R5">
        <v>3.3</v>
      </c>
      <c r="S5">
        <v>4.2</v>
      </c>
      <c r="T5">
        <v>2.5</v>
      </c>
      <c r="U5">
        <v>3.4</v>
      </c>
      <c r="V5">
        <v>4.3</v>
      </c>
      <c r="W5">
        <v>4.4000000000000004</v>
      </c>
    </row>
    <row r="7" spans="1:23" x14ac:dyDescent="0.3">
      <c r="A7">
        <v>1976</v>
      </c>
      <c r="B7" s="1">
        <v>204037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0</v>
      </c>
    </row>
    <row r="8" spans="1:23" x14ac:dyDescent="0.3">
      <c r="A8">
        <v>1977</v>
      </c>
      <c r="B8" s="1">
        <v>185312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0</v>
      </c>
      <c r="U8" s="1">
        <v>0</v>
      </c>
      <c r="V8" s="1">
        <v>0</v>
      </c>
      <c r="W8" s="1">
        <v>0</v>
      </c>
    </row>
    <row r="9" spans="1:23" x14ac:dyDescent="0.3">
      <c r="A9">
        <v>1978</v>
      </c>
      <c r="B9" s="1">
        <v>248741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0</v>
      </c>
      <c r="R9" s="1">
        <v>10989.331600647045</v>
      </c>
      <c r="S9" s="1">
        <v>0</v>
      </c>
      <c r="T9" s="1">
        <v>0</v>
      </c>
      <c r="U9" s="1">
        <v>0</v>
      </c>
      <c r="V9" s="1">
        <v>0</v>
      </c>
      <c r="W9" s="1">
        <v>0</v>
      </c>
    </row>
    <row r="10" spans="1:23" x14ac:dyDescent="0.3">
      <c r="A10">
        <v>1979</v>
      </c>
      <c r="B10" s="1">
        <v>212872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v>0</v>
      </c>
      <c r="N10" s="1">
        <v>50484.385128509079</v>
      </c>
      <c r="O10" s="1">
        <v>45653.682262487178</v>
      </c>
      <c r="P10" s="1">
        <v>0</v>
      </c>
      <c r="Q10" s="1">
        <v>641.46631817725904</v>
      </c>
      <c r="R10" s="1">
        <v>14673.327902240326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 spans="1:23" x14ac:dyDescent="0.3">
      <c r="A11">
        <v>1980</v>
      </c>
      <c r="B11" s="1">
        <v>132396</v>
      </c>
      <c r="C11" s="1"/>
      <c r="D11" s="1"/>
      <c r="E11" s="1"/>
      <c r="F11" s="1"/>
      <c r="G11" s="1"/>
      <c r="H11" s="1"/>
      <c r="I11" s="1">
        <v>0</v>
      </c>
      <c r="J11" s="1">
        <v>11635.495242561479</v>
      </c>
      <c r="K11" s="1">
        <v>193760.36211608586</v>
      </c>
      <c r="L11" s="1">
        <v>4085</v>
      </c>
      <c r="M11" s="1">
        <v>0</v>
      </c>
      <c r="N11" s="1">
        <v>103898.92580300869</v>
      </c>
      <c r="O11" s="1">
        <v>60395.260692464355</v>
      </c>
      <c r="P11" s="1">
        <v>0</v>
      </c>
      <c r="Q11" s="1">
        <v>0</v>
      </c>
      <c r="R11" s="1">
        <v>37688.898994652191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 spans="1:23" x14ac:dyDescent="0.3">
      <c r="A12">
        <v>1981</v>
      </c>
      <c r="B12" s="1">
        <v>97937</v>
      </c>
      <c r="C12" s="1"/>
      <c r="D12" s="1"/>
      <c r="E12" s="1"/>
      <c r="F12" s="1">
        <v>0</v>
      </c>
      <c r="G12" s="1">
        <v>8557.9664285682866</v>
      </c>
      <c r="H12" s="1">
        <v>18604</v>
      </c>
      <c r="I12" s="1">
        <v>0</v>
      </c>
      <c r="J12" s="1">
        <v>3734.8960789121902</v>
      </c>
      <c r="K12" s="1">
        <v>278830.88580069336</v>
      </c>
      <c r="L12" s="1">
        <v>1672</v>
      </c>
      <c r="M12" s="1">
        <v>0</v>
      </c>
      <c r="N12" s="1">
        <v>117158.14030372315</v>
      </c>
      <c r="O12" s="1">
        <v>38128.827547939458</v>
      </c>
      <c r="P12" s="1">
        <v>0</v>
      </c>
      <c r="Q12" s="1">
        <v>272.0263246597238</v>
      </c>
      <c r="R12" s="1">
        <v>22432.550371155885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 spans="1:23" x14ac:dyDescent="0.3">
      <c r="A13">
        <v>1982</v>
      </c>
      <c r="B13" s="1">
        <v>122705</v>
      </c>
      <c r="C13" s="1">
        <v>0</v>
      </c>
      <c r="D13" s="1">
        <v>0</v>
      </c>
      <c r="E13" s="1">
        <v>1244</v>
      </c>
      <c r="F13" s="1">
        <v>841.41933917798235</v>
      </c>
      <c r="G13" s="1">
        <v>4649.9009676195956</v>
      </c>
      <c r="H13" s="1">
        <v>5466</v>
      </c>
      <c r="I13" s="1">
        <v>0</v>
      </c>
      <c r="J13" s="1">
        <v>21058.012176584871</v>
      </c>
      <c r="K13" s="1">
        <v>197292.80345706205</v>
      </c>
      <c r="L13" s="1">
        <v>4169</v>
      </c>
      <c r="M13" s="1">
        <v>0</v>
      </c>
      <c r="N13" s="1">
        <v>93559.846811884956</v>
      </c>
      <c r="O13" s="1">
        <v>37078.741251325555</v>
      </c>
      <c r="P13" s="1">
        <v>0</v>
      </c>
      <c r="Q13" s="1">
        <v>0</v>
      </c>
      <c r="R13" s="1">
        <v>20728</v>
      </c>
      <c r="S13" s="1">
        <v>0</v>
      </c>
      <c r="T13" s="1">
        <v>0</v>
      </c>
      <c r="U13" s="1">
        <v>0</v>
      </c>
      <c r="V13" s="1">
        <v>0</v>
      </c>
      <c r="W13" s="1">
        <v>320.07571778964075</v>
      </c>
    </row>
    <row r="14" spans="1:23" x14ac:dyDescent="0.3">
      <c r="A14">
        <v>1983</v>
      </c>
      <c r="B14" s="1">
        <v>215620</v>
      </c>
      <c r="C14" s="1">
        <v>0</v>
      </c>
      <c r="D14" s="1">
        <v>0</v>
      </c>
      <c r="E14" s="1">
        <v>143</v>
      </c>
      <c r="F14" s="1">
        <v>563.99662324178109</v>
      </c>
      <c r="G14" s="1">
        <v>8158.5897740736491</v>
      </c>
      <c r="H14" s="1">
        <v>7031.6617139824884</v>
      </c>
      <c r="I14" s="1">
        <v>0</v>
      </c>
      <c r="J14" s="1">
        <v>14244.269094052544</v>
      </c>
      <c r="K14" s="1">
        <v>149946.99556609828</v>
      </c>
      <c r="L14" s="1">
        <v>1728</v>
      </c>
      <c r="M14" s="1">
        <v>0</v>
      </c>
      <c r="N14" s="1">
        <v>183829</v>
      </c>
      <c r="O14" s="1">
        <v>33945</v>
      </c>
      <c r="P14" s="1">
        <v>0</v>
      </c>
      <c r="Q14" s="1">
        <v>336.80707658037454</v>
      </c>
      <c r="R14" s="1">
        <v>14082.008032128515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spans="1:23" x14ac:dyDescent="0.3">
      <c r="A15">
        <v>1984</v>
      </c>
      <c r="B15" s="1">
        <v>288422</v>
      </c>
      <c r="C15" s="1">
        <v>0</v>
      </c>
      <c r="D15" s="1">
        <v>0</v>
      </c>
      <c r="E15" s="1">
        <v>0</v>
      </c>
      <c r="F15" s="1">
        <v>0</v>
      </c>
      <c r="G15" s="1">
        <v>4090.4120223433647</v>
      </c>
      <c r="H15" s="1">
        <v>8392.8436363636356</v>
      </c>
      <c r="I15" s="1">
        <v>0</v>
      </c>
      <c r="J15" s="1">
        <v>5830</v>
      </c>
      <c r="K15" s="1">
        <v>97537</v>
      </c>
      <c r="L15" s="1">
        <v>738</v>
      </c>
      <c r="M15" s="1">
        <v>0</v>
      </c>
      <c r="N15" s="1">
        <v>94258.172232378449</v>
      </c>
      <c r="O15" s="1">
        <v>30589.391566265062</v>
      </c>
      <c r="P15" s="1">
        <v>0</v>
      </c>
      <c r="Q15" s="1">
        <v>907.62729764824701</v>
      </c>
      <c r="R15" s="1">
        <v>19634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</row>
    <row r="16" spans="1:23" x14ac:dyDescent="0.3">
      <c r="A16">
        <v>1985</v>
      </c>
      <c r="B16" s="1">
        <v>316688</v>
      </c>
      <c r="C16" s="1">
        <v>0</v>
      </c>
      <c r="D16" s="1">
        <v>0</v>
      </c>
      <c r="E16" s="1">
        <v>0</v>
      </c>
      <c r="F16" s="1">
        <v>24</v>
      </c>
      <c r="G16" s="1">
        <v>4258</v>
      </c>
      <c r="H16" s="1">
        <v>2842</v>
      </c>
      <c r="I16" s="1">
        <v>0</v>
      </c>
      <c r="J16" s="1">
        <v>3969.2268018809045</v>
      </c>
      <c r="K16" s="1">
        <v>72856.564421286006</v>
      </c>
      <c r="L16" s="1">
        <v>3010</v>
      </c>
      <c r="M16" s="1">
        <v>0</v>
      </c>
      <c r="N16" s="1">
        <v>88599.420805078626</v>
      </c>
      <c r="O16" s="1">
        <v>57934</v>
      </c>
      <c r="P16" s="1">
        <v>0</v>
      </c>
      <c r="Q16" s="1">
        <v>1955.1054272827225</v>
      </c>
      <c r="R16" s="1">
        <v>40330.62314540059</v>
      </c>
      <c r="S16" s="1">
        <v>0</v>
      </c>
      <c r="T16" s="1">
        <v>0</v>
      </c>
      <c r="U16" s="1">
        <v>38.000059667000002</v>
      </c>
      <c r="V16" s="1">
        <v>29.999992122999998</v>
      </c>
      <c r="W16" s="1">
        <v>0</v>
      </c>
    </row>
    <row r="17" spans="1:23" x14ac:dyDescent="0.3">
      <c r="A17">
        <v>1986</v>
      </c>
      <c r="B17" s="1">
        <v>358756</v>
      </c>
      <c r="C17" s="1">
        <v>0</v>
      </c>
      <c r="D17" s="1">
        <v>24</v>
      </c>
      <c r="E17" s="1">
        <v>0</v>
      </c>
      <c r="F17" s="1">
        <v>336.80707658037454</v>
      </c>
      <c r="G17" s="1">
        <v>6151.5632929105986</v>
      </c>
      <c r="H17" s="1">
        <v>2200.6738909583473</v>
      </c>
      <c r="I17" s="1">
        <v>345.81607271677967</v>
      </c>
      <c r="J17" s="1">
        <v>6442.9227528495167</v>
      </c>
      <c r="K17" s="1">
        <v>87690.674361563986</v>
      </c>
      <c r="L17" s="1">
        <v>4031</v>
      </c>
      <c r="M17" s="1">
        <v>93.539558519917406</v>
      </c>
      <c r="N17" s="1">
        <v>129381.43710798651</v>
      </c>
      <c r="O17" s="1">
        <v>131218.30860534124</v>
      </c>
      <c r="P17" s="1">
        <v>0</v>
      </c>
      <c r="Q17" s="1">
        <v>478.56677052504364</v>
      </c>
      <c r="R17" s="1">
        <v>61223.187874085001</v>
      </c>
      <c r="S17" s="1">
        <v>1508</v>
      </c>
      <c r="T17" s="1">
        <v>0</v>
      </c>
      <c r="U17" s="1">
        <v>235</v>
      </c>
      <c r="V17" s="1">
        <v>113.18827427349468</v>
      </c>
      <c r="W17" s="1">
        <v>0</v>
      </c>
    </row>
    <row r="18" spans="1:23" x14ac:dyDescent="0.3">
      <c r="A18">
        <v>1987</v>
      </c>
      <c r="B18" s="1">
        <v>354094</v>
      </c>
      <c r="C18" s="1">
        <v>0</v>
      </c>
      <c r="D18" s="1">
        <v>426.66575739702057</v>
      </c>
      <c r="E18" s="1">
        <v>0</v>
      </c>
      <c r="F18" s="1">
        <v>1456.0087721829461</v>
      </c>
      <c r="G18" s="1">
        <v>957.98886163612758</v>
      </c>
      <c r="H18" s="1">
        <v>2884</v>
      </c>
      <c r="I18" s="1">
        <v>0</v>
      </c>
      <c r="J18" s="1">
        <v>8503.3896259858902</v>
      </c>
      <c r="K18" s="1">
        <v>114503.70628926414</v>
      </c>
      <c r="L18" s="1">
        <v>19876</v>
      </c>
      <c r="M18" s="1">
        <v>415.59742976206746</v>
      </c>
      <c r="N18" s="1">
        <v>44051.252130390254</v>
      </c>
      <c r="O18" s="1">
        <v>337905.07880775002</v>
      </c>
      <c r="P18" s="1">
        <v>0</v>
      </c>
      <c r="Q18" s="1">
        <v>285</v>
      </c>
      <c r="R18" s="1">
        <v>60244</v>
      </c>
      <c r="S18" s="1">
        <v>2309</v>
      </c>
      <c r="T18" s="1">
        <v>0</v>
      </c>
      <c r="U18" s="1">
        <v>690</v>
      </c>
      <c r="V18" s="1">
        <v>1969</v>
      </c>
      <c r="W18" s="1">
        <v>0</v>
      </c>
    </row>
    <row r="19" spans="1:23" x14ac:dyDescent="0.3">
      <c r="A19">
        <v>1988</v>
      </c>
      <c r="B19" s="1">
        <v>296510</v>
      </c>
      <c r="C19" s="1">
        <v>0</v>
      </c>
      <c r="D19" s="1">
        <v>0</v>
      </c>
      <c r="E19" s="1">
        <v>0</v>
      </c>
      <c r="F19" s="1">
        <v>0</v>
      </c>
      <c r="G19" s="1">
        <v>8383.2824609078089</v>
      </c>
      <c r="H19" s="1">
        <v>6297.3650746268659</v>
      </c>
      <c r="I19" s="1">
        <v>0</v>
      </c>
      <c r="J19" s="1">
        <v>9707.7740071734188</v>
      </c>
      <c r="K19" s="1">
        <v>84322.243722335828</v>
      </c>
      <c r="L19" s="1">
        <v>13770.471592868</v>
      </c>
      <c r="M19" s="1">
        <v>0</v>
      </c>
      <c r="N19" s="1">
        <v>37096.114736029253</v>
      </c>
      <c r="O19" s="1">
        <v>202729</v>
      </c>
      <c r="P19" s="1">
        <v>0</v>
      </c>
      <c r="Q19" s="1">
        <v>320</v>
      </c>
      <c r="R19" s="1">
        <v>70357</v>
      </c>
      <c r="S19" s="1">
        <v>231</v>
      </c>
      <c r="T19" s="1">
        <v>0</v>
      </c>
      <c r="U19" s="1">
        <v>39</v>
      </c>
      <c r="V19" s="1">
        <v>2906</v>
      </c>
      <c r="W19" s="1">
        <v>0</v>
      </c>
    </row>
    <row r="20" spans="1:23" x14ac:dyDescent="0.3">
      <c r="A20">
        <v>1989</v>
      </c>
      <c r="B20" s="1">
        <v>349753</v>
      </c>
      <c r="C20" s="1">
        <v>0</v>
      </c>
      <c r="D20" s="1">
        <v>0</v>
      </c>
      <c r="E20" s="1">
        <v>1621.1038805970149</v>
      </c>
      <c r="F20" s="1">
        <v>0</v>
      </c>
      <c r="G20" s="1">
        <v>8492.4650178088596</v>
      </c>
      <c r="H20" s="1">
        <v>7624.213593805739</v>
      </c>
      <c r="I20" s="1">
        <v>0</v>
      </c>
      <c r="J20" s="1">
        <v>13979.228026637978</v>
      </c>
      <c r="K20" s="1">
        <v>104563.65280866988</v>
      </c>
      <c r="L20" s="1">
        <v>5517</v>
      </c>
      <c r="M20" s="1">
        <v>0</v>
      </c>
      <c r="N20" s="1">
        <v>167751</v>
      </c>
      <c r="O20" s="1">
        <v>101296</v>
      </c>
      <c r="P20" s="1">
        <v>0</v>
      </c>
      <c r="Q20" s="1">
        <v>1</v>
      </c>
      <c r="R20" s="1">
        <v>69709</v>
      </c>
      <c r="S20" s="1">
        <v>5362</v>
      </c>
      <c r="T20" s="1">
        <v>0</v>
      </c>
      <c r="U20" s="1">
        <v>0</v>
      </c>
      <c r="V20" s="1">
        <v>1713</v>
      </c>
      <c r="W20" s="1">
        <v>0</v>
      </c>
    </row>
    <row r="21" spans="1:23" x14ac:dyDescent="0.3">
      <c r="A21">
        <v>1990</v>
      </c>
      <c r="B21" s="1">
        <v>196197</v>
      </c>
      <c r="C21" s="1">
        <v>0</v>
      </c>
      <c r="D21" s="1">
        <v>0</v>
      </c>
      <c r="E21" s="1">
        <v>181.07137551432623</v>
      </c>
      <c r="F21" s="1">
        <v>0</v>
      </c>
      <c r="G21" s="1">
        <v>18148.501950327696</v>
      </c>
      <c r="H21" s="1">
        <v>2779.7096336499321</v>
      </c>
      <c r="I21" s="1">
        <v>0</v>
      </c>
      <c r="J21" s="1">
        <v>50649</v>
      </c>
      <c r="K21" s="1">
        <v>79156</v>
      </c>
      <c r="L21" s="1">
        <v>6586</v>
      </c>
      <c r="M21" s="1">
        <v>652</v>
      </c>
      <c r="N21" s="1">
        <v>146751</v>
      </c>
      <c r="O21" s="1">
        <v>97063</v>
      </c>
      <c r="P21" s="1">
        <v>0</v>
      </c>
      <c r="Q21" s="1">
        <v>269</v>
      </c>
      <c r="R21" s="1">
        <v>70863</v>
      </c>
      <c r="S21" s="1">
        <v>760</v>
      </c>
      <c r="T21" s="1">
        <v>0</v>
      </c>
      <c r="U21" s="1">
        <v>0</v>
      </c>
      <c r="V21" s="1">
        <v>0</v>
      </c>
      <c r="W21" s="1">
        <v>0</v>
      </c>
    </row>
    <row r="22" spans="1:23" x14ac:dyDescent="0.3">
      <c r="A22">
        <v>1991</v>
      </c>
      <c r="B22" s="1">
        <v>243069</v>
      </c>
      <c r="C22" s="1">
        <v>0</v>
      </c>
      <c r="D22" s="1">
        <v>0</v>
      </c>
      <c r="E22" s="1">
        <v>1223.9206241519676</v>
      </c>
      <c r="F22" s="1">
        <v>1062</v>
      </c>
      <c r="G22" s="1">
        <v>26661</v>
      </c>
      <c r="H22" s="1">
        <v>12015</v>
      </c>
      <c r="I22" s="1">
        <v>0</v>
      </c>
      <c r="J22" s="1">
        <v>83430</v>
      </c>
      <c r="K22" s="1">
        <v>326422</v>
      </c>
      <c r="L22" s="1">
        <v>7087</v>
      </c>
      <c r="M22" s="1">
        <v>0</v>
      </c>
      <c r="N22" s="1">
        <v>127809</v>
      </c>
      <c r="O22" s="1">
        <v>81364</v>
      </c>
      <c r="P22" s="1">
        <v>809</v>
      </c>
      <c r="Q22" s="1">
        <v>106.72337943138852</v>
      </c>
      <c r="R22" s="1">
        <v>12112.934129131525</v>
      </c>
      <c r="S22" s="1">
        <v>2476.4301062651357</v>
      </c>
      <c r="T22" s="1">
        <v>0</v>
      </c>
      <c r="U22" s="1">
        <v>0</v>
      </c>
      <c r="V22" s="1">
        <v>247.05111933356761</v>
      </c>
      <c r="W22" s="1">
        <v>0</v>
      </c>
    </row>
    <row r="23" spans="1:23" x14ac:dyDescent="0.3">
      <c r="A23">
        <v>1992</v>
      </c>
      <c r="B23" s="1">
        <v>217152</v>
      </c>
      <c r="C23" s="1">
        <v>0</v>
      </c>
      <c r="D23" s="1">
        <v>0</v>
      </c>
      <c r="E23" s="1">
        <v>2669</v>
      </c>
      <c r="F23" s="1">
        <v>4</v>
      </c>
      <c r="G23" s="1">
        <v>9627</v>
      </c>
      <c r="H23" s="1">
        <v>9642</v>
      </c>
      <c r="I23" s="1">
        <v>0</v>
      </c>
      <c r="J23" s="1">
        <v>13159</v>
      </c>
      <c r="K23" s="1">
        <v>52730</v>
      </c>
      <c r="L23" s="1">
        <v>14935</v>
      </c>
      <c r="M23" s="1">
        <v>0</v>
      </c>
      <c r="N23" s="1">
        <v>42891.197643148844</v>
      </c>
      <c r="O23" s="1">
        <v>58374.617958701463</v>
      </c>
      <c r="P23" s="1">
        <v>0</v>
      </c>
      <c r="Q23" s="1">
        <v>768.97442999772625</v>
      </c>
      <c r="R23" s="1">
        <v>36603.117839992148</v>
      </c>
      <c r="S23" s="1">
        <v>0</v>
      </c>
      <c r="T23" s="1">
        <v>0</v>
      </c>
      <c r="U23" s="1">
        <v>79</v>
      </c>
      <c r="V23" s="1">
        <v>0</v>
      </c>
      <c r="W23" s="1">
        <v>0</v>
      </c>
    </row>
    <row r="24" spans="1:23" x14ac:dyDescent="0.3">
      <c r="A24">
        <v>1993</v>
      </c>
      <c r="B24" s="1">
        <v>261169</v>
      </c>
      <c r="C24" s="1">
        <v>0</v>
      </c>
      <c r="D24" s="1">
        <v>2</v>
      </c>
      <c r="E24" s="1">
        <v>1534</v>
      </c>
      <c r="F24" s="1">
        <v>350</v>
      </c>
      <c r="G24" s="1">
        <v>3309</v>
      </c>
      <c r="H24" s="1">
        <v>18252</v>
      </c>
      <c r="I24" s="1">
        <v>0</v>
      </c>
      <c r="J24" s="1">
        <v>7717.6899406068324</v>
      </c>
      <c r="K24" s="1">
        <v>226377.15198475437</v>
      </c>
      <c r="L24" s="1">
        <v>2274.9266579999999</v>
      </c>
      <c r="M24" s="1">
        <v>0</v>
      </c>
      <c r="N24" s="1">
        <v>128158.49231306449</v>
      </c>
      <c r="O24" s="1">
        <v>35029.234764559114</v>
      </c>
      <c r="P24" s="1">
        <v>0</v>
      </c>
      <c r="Q24" s="1">
        <v>1752</v>
      </c>
      <c r="R24" s="1">
        <v>42562.538516320477</v>
      </c>
      <c r="S24" s="1">
        <v>436.52</v>
      </c>
      <c r="T24" s="1">
        <v>0</v>
      </c>
      <c r="U24" s="1">
        <v>288</v>
      </c>
      <c r="V24" s="1">
        <v>0</v>
      </c>
      <c r="W24" s="1">
        <v>0</v>
      </c>
    </row>
    <row r="25" spans="1:23" x14ac:dyDescent="0.3">
      <c r="A25">
        <v>1994</v>
      </c>
      <c r="B25" s="1">
        <v>260771</v>
      </c>
      <c r="C25" s="1">
        <v>0</v>
      </c>
      <c r="D25" s="1">
        <v>0</v>
      </c>
      <c r="E25" s="1">
        <v>1017</v>
      </c>
      <c r="F25" s="1">
        <v>0</v>
      </c>
      <c r="G25" s="1">
        <v>8955.8041782481741</v>
      </c>
      <c r="H25" s="1">
        <v>7265.9866670000001</v>
      </c>
      <c r="I25" s="1">
        <v>0</v>
      </c>
      <c r="J25" s="1">
        <v>41178.570931074079</v>
      </c>
      <c r="K25" s="1">
        <v>294779.93171370827</v>
      </c>
      <c r="L25" s="1">
        <v>1856.6531791907514</v>
      </c>
      <c r="M25" s="1">
        <v>427.39676308698557</v>
      </c>
      <c r="N25" s="1">
        <v>182132.86070547884</v>
      </c>
      <c r="O25" s="1">
        <v>54147.520774339413</v>
      </c>
      <c r="P25" s="1">
        <v>0</v>
      </c>
      <c r="Q25" s="1">
        <v>586.74474380937545</v>
      </c>
      <c r="R25" s="1">
        <v>33887</v>
      </c>
      <c r="S25" s="1">
        <v>1781.0507709079582</v>
      </c>
      <c r="T25" s="1">
        <v>0</v>
      </c>
      <c r="U25" s="1">
        <v>1042.1831999999999</v>
      </c>
      <c r="V25" s="1">
        <v>0</v>
      </c>
      <c r="W25" s="1">
        <v>0</v>
      </c>
    </row>
    <row r="26" spans="1:23" x14ac:dyDescent="0.3">
      <c r="A26">
        <v>1995</v>
      </c>
      <c r="B26" s="1">
        <v>238079</v>
      </c>
      <c r="C26" s="1">
        <v>0</v>
      </c>
      <c r="D26" s="1">
        <v>0</v>
      </c>
      <c r="E26" s="1">
        <v>217.78918716398104</v>
      </c>
      <c r="F26" s="1">
        <v>0</v>
      </c>
      <c r="G26" s="1">
        <v>23267.891535810792</v>
      </c>
      <c r="H26" s="1">
        <v>13105.952231950918</v>
      </c>
      <c r="I26" s="1">
        <v>0</v>
      </c>
      <c r="J26" s="1">
        <v>33003.536686261126</v>
      </c>
      <c r="K26" s="1">
        <v>231808.9975424385</v>
      </c>
      <c r="L26" s="1">
        <v>3463.3234421364987</v>
      </c>
      <c r="M26" s="1">
        <v>0</v>
      </c>
      <c r="N26" s="1">
        <v>245933.61968540726</v>
      </c>
      <c r="O26" s="1">
        <v>83559</v>
      </c>
      <c r="P26" s="1">
        <v>0</v>
      </c>
      <c r="Q26" s="1">
        <v>1405.2745007212063</v>
      </c>
      <c r="R26" s="1">
        <v>52469.8243</v>
      </c>
      <c r="S26" s="1">
        <v>834.96384862705088</v>
      </c>
      <c r="T26" s="1">
        <v>0</v>
      </c>
      <c r="U26" s="1">
        <v>492</v>
      </c>
      <c r="V26" s="1">
        <v>0</v>
      </c>
      <c r="W26" s="1">
        <v>0</v>
      </c>
    </row>
    <row r="27" spans="1:23" x14ac:dyDescent="0.3">
      <c r="A27">
        <v>1996</v>
      </c>
      <c r="B27" s="1">
        <v>250357</v>
      </c>
      <c r="C27" s="1">
        <v>0</v>
      </c>
      <c r="D27" s="1">
        <v>0</v>
      </c>
      <c r="E27" s="1">
        <v>0</v>
      </c>
      <c r="F27" s="1">
        <v>0</v>
      </c>
      <c r="G27" s="1">
        <v>2063.4858118857965</v>
      </c>
      <c r="H27" s="1">
        <v>5958.6586379005603</v>
      </c>
      <c r="I27" s="1">
        <v>0</v>
      </c>
      <c r="J27" s="1">
        <v>2216.591254390974</v>
      </c>
      <c r="K27" s="1">
        <v>253847</v>
      </c>
      <c r="L27" s="1">
        <v>2326</v>
      </c>
      <c r="M27" s="1">
        <v>0</v>
      </c>
      <c r="N27" s="1">
        <v>215128.78127795068</v>
      </c>
      <c r="O27" s="1">
        <v>84029.020600000003</v>
      </c>
      <c r="P27" s="1">
        <v>0</v>
      </c>
      <c r="Q27" s="1">
        <v>61</v>
      </c>
      <c r="R27" s="1">
        <v>42035</v>
      </c>
      <c r="S27" s="1">
        <v>0</v>
      </c>
      <c r="T27" s="1">
        <v>0</v>
      </c>
      <c r="U27" s="1">
        <v>1461</v>
      </c>
      <c r="V27" s="1">
        <v>114</v>
      </c>
      <c r="W27" s="1">
        <v>0</v>
      </c>
    </row>
    <row r="28" spans="1:23" x14ac:dyDescent="0.3">
      <c r="A28">
        <v>1997</v>
      </c>
      <c r="B28" s="1">
        <v>252859</v>
      </c>
      <c r="C28" s="1">
        <v>0</v>
      </c>
      <c r="D28" s="1">
        <v>0</v>
      </c>
      <c r="E28" s="1">
        <v>0</v>
      </c>
      <c r="F28" s="1">
        <v>1837.6519406807524</v>
      </c>
      <c r="G28" s="1">
        <v>3929.9673986398798</v>
      </c>
      <c r="H28" s="1">
        <v>11696.433851098018</v>
      </c>
      <c r="I28" s="1">
        <v>0</v>
      </c>
      <c r="J28" s="1">
        <v>6691.0618832989867</v>
      </c>
      <c r="K28" s="1">
        <v>233964.12953327512</v>
      </c>
      <c r="L28" s="1">
        <v>3273.5083999999997</v>
      </c>
      <c r="M28" s="1">
        <v>0</v>
      </c>
      <c r="N28" s="1">
        <v>131879</v>
      </c>
      <c r="O28" s="1">
        <v>63748</v>
      </c>
      <c r="P28" s="1">
        <v>0</v>
      </c>
      <c r="Q28" s="1">
        <v>0</v>
      </c>
      <c r="R28" s="1">
        <v>24066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</row>
    <row r="29" spans="1:23" x14ac:dyDescent="0.3">
      <c r="A29">
        <v>1998</v>
      </c>
      <c r="B29" s="1">
        <v>252298</v>
      </c>
      <c r="C29" s="1">
        <v>0</v>
      </c>
      <c r="D29" s="1">
        <v>0</v>
      </c>
      <c r="E29" s="1">
        <v>573.52222817354038</v>
      </c>
      <c r="F29" s="1">
        <v>0</v>
      </c>
      <c r="G29" s="1">
        <v>4257.7072723717329</v>
      </c>
      <c r="H29" s="1">
        <v>19885.373899999999</v>
      </c>
      <c r="I29" s="1">
        <v>0</v>
      </c>
      <c r="J29" s="1">
        <v>5410</v>
      </c>
      <c r="K29" s="1">
        <v>531206</v>
      </c>
      <c r="L29" s="1">
        <v>4517</v>
      </c>
      <c r="M29" s="1">
        <v>532</v>
      </c>
      <c r="N29" s="1">
        <v>168024</v>
      </c>
      <c r="O29" s="1">
        <v>104530</v>
      </c>
      <c r="P29" s="1">
        <v>715</v>
      </c>
      <c r="Q29" s="1">
        <v>0</v>
      </c>
      <c r="R29" s="1">
        <v>14578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</row>
    <row r="30" spans="1:23" x14ac:dyDescent="0.3">
      <c r="A30">
        <v>1999</v>
      </c>
      <c r="B30" s="1">
        <v>392419</v>
      </c>
      <c r="C30" s="1">
        <v>0</v>
      </c>
      <c r="D30" s="1">
        <v>0</v>
      </c>
      <c r="E30" s="1">
        <v>898.24059760509954</v>
      </c>
      <c r="F30" s="1">
        <v>0</v>
      </c>
      <c r="G30" s="1">
        <v>15382</v>
      </c>
      <c r="H30" s="1">
        <v>28948</v>
      </c>
      <c r="I30" s="1">
        <v>0</v>
      </c>
      <c r="J30" s="1">
        <v>33620</v>
      </c>
      <c r="K30" s="1">
        <v>432204</v>
      </c>
      <c r="L30" s="1">
        <v>10393</v>
      </c>
      <c r="M30" s="1">
        <v>76</v>
      </c>
      <c r="N30" s="1">
        <v>192314</v>
      </c>
      <c r="O30" s="1">
        <v>80270</v>
      </c>
      <c r="P30" s="1">
        <v>0</v>
      </c>
      <c r="Q30" s="1">
        <v>0</v>
      </c>
      <c r="R30" s="1">
        <v>48461</v>
      </c>
      <c r="S30" s="1">
        <v>0</v>
      </c>
      <c r="T30" s="1">
        <v>0</v>
      </c>
      <c r="U30" s="1">
        <v>116</v>
      </c>
      <c r="V30" s="1">
        <v>0</v>
      </c>
      <c r="W30" s="1">
        <v>0</v>
      </c>
    </row>
    <row r="31" spans="1:23" x14ac:dyDescent="0.3">
      <c r="A31">
        <v>2000</v>
      </c>
      <c r="B31" s="1">
        <v>291351</v>
      </c>
      <c r="C31" s="1">
        <v>0</v>
      </c>
      <c r="D31" s="1">
        <v>0</v>
      </c>
      <c r="E31" s="1">
        <v>939</v>
      </c>
      <c r="F31" s="1">
        <v>0</v>
      </c>
      <c r="G31" s="1">
        <v>9611</v>
      </c>
      <c r="H31" s="1">
        <v>4286</v>
      </c>
      <c r="I31" s="1">
        <v>0</v>
      </c>
      <c r="J31" s="1">
        <v>3393</v>
      </c>
      <c r="K31" s="1">
        <v>223141</v>
      </c>
      <c r="L31" s="1">
        <v>6013</v>
      </c>
      <c r="M31" s="1">
        <v>129</v>
      </c>
      <c r="N31" s="1">
        <v>109252</v>
      </c>
      <c r="O31" s="1">
        <v>78082</v>
      </c>
      <c r="P31" s="1">
        <v>0</v>
      </c>
      <c r="Q31" s="1">
        <v>483</v>
      </c>
      <c r="R31" s="1">
        <v>74506</v>
      </c>
      <c r="S31" s="1">
        <v>523</v>
      </c>
      <c r="T31" s="1">
        <v>0</v>
      </c>
      <c r="U31" s="1">
        <v>1561</v>
      </c>
      <c r="V31" s="1">
        <v>0</v>
      </c>
      <c r="W31" s="1">
        <v>0</v>
      </c>
    </row>
    <row r="32" spans="1:23" x14ac:dyDescent="0.3">
      <c r="A32">
        <v>2001</v>
      </c>
      <c r="B32" s="1">
        <v>338799</v>
      </c>
      <c r="C32" s="1">
        <v>0</v>
      </c>
      <c r="D32" s="1">
        <v>0</v>
      </c>
      <c r="E32" s="1">
        <v>0</v>
      </c>
      <c r="F32" s="1">
        <v>0</v>
      </c>
      <c r="G32" s="1">
        <v>3223</v>
      </c>
      <c r="H32" s="1">
        <v>6573</v>
      </c>
      <c r="I32" s="1">
        <v>0</v>
      </c>
      <c r="J32" s="1">
        <v>1102</v>
      </c>
      <c r="K32" s="1">
        <v>216151</v>
      </c>
      <c r="L32" s="1">
        <v>5644</v>
      </c>
      <c r="M32" s="1">
        <v>0</v>
      </c>
      <c r="N32" s="1">
        <v>274770</v>
      </c>
      <c r="O32" s="1">
        <v>51394</v>
      </c>
      <c r="P32" s="1">
        <v>0</v>
      </c>
      <c r="Q32" s="1">
        <v>3144</v>
      </c>
      <c r="R32" s="1">
        <v>42585</v>
      </c>
      <c r="S32" s="1">
        <v>425</v>
      </c>
      <c r="T32" s="1">
        <v>59</v>
      </c>
      <c r="U32" s="1">
        <v>771</v>
      </c>
      <c r="V32" s="1">
        <v>65</v>
      </c>
      <c r="W32" s="1">
        <v>0</v>
      </c>
    </row>
    <row r="33" spans="1:23" x14ac:dyDescent="0.3">
      <c r="A33">
        <v>2002</v>
      </c>
      <c r="B33" s="1">
        <v>456842</v>
      </c>
      <c r="C33" s="1">
        <v>0</v>
      </c>
      <c r="D33" s="1">
        <v>0</v>
      </c>
      <c r="E33" s="1">
        <v>78</v>
      </c>
      <c r="F33" s="1">
        <v>0</v>
      </c>
      <c r="G33" s="1">
        <v>4894</v>
      </c>
      <c r="H33" s="1">
        <v>11188</v>
      </c>
      <c r="I33" s="1">
        <v>0</v>
      </c>
      <c r="J33" s="1">
        <v>7592</v>
      </c>
      <c r="K33" s="1">
        <v>69773</v>
      </c>
      <c r="L33" s="1">
        <v>1251</v>
      </c>
      <c r="M33" s="1">
        <v>99</v>
      </c>
      <c r="N33" s="1">
        <v>59363</v>
      </c>
      <c r="O33" s="1">
        <v>12086</v>
      </c>
      <c r="P33" s="1">
        <v>0</v>
      </c>
      <c r="Q33" s="1">
        <v>698</v>
      </c>
      <c r="R33" s="1">
        <v>4882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</row>
    <row r="34" spans="1:23" x14ac:dyDescent="0.3">
      <c r="A34">
        <v>2003</v>
      </c>
      <c r="B34" s="1">
        <v>451856</v>
      </c>
      <c r="C34" s="1">
        <v>0</v>
      </c>
      <c r="D34" s="1">
        <v>0</v>
      </c>
      <c r="E34" s="1">
        <v>0</v>
      </c>
      <c r="F34" s="1">
        <v>286</v>
      </c>
      <c r="G34" s="1">
        <v>2237</v>
      </c>
      <c r="H34" s="1">
        <v>9403</v>
      </c>
      <c r="I34" s="1">
        <v>0</v>
      </c>
      <c r="J34" s="1">
        <v>1150</v>
      </c>
      <c r="K34" s="1">
        <v>30926</v>
      </c>
      <c r="L34" s="1">
        <v>638</v>
      </c>
      <c r="M34" s="1">
        <v>49</v>
      </c>
      <c r="N34" s="1">
        <v>15852</v>
      </c>
      <c r="O34" s="1">
        <v>15878</v>
      </c>
      <c r="P34" s="1">
        <v>621</v>
      </c>
      <c r="Q34" s="1">
        <v>1</v>
      </c>
      <c r="R34" s="1">
        <v>1494</v>
      </c>
      <c r="S34" s="1">
        <v>686</v>
      </c>
      <c r="T34" s="1">
        <v>0</v>
      </c>
      <c r="U34" s="1">
        <v>0</v>
      </c>
      <c r="V34" s="1">
        <v>127.5532</v>
      </c>
      <c r="W34" s="1">
        <v>0</v>
      </c>
    </row>
    <row r="35" spans="1:23" x14ac:dyDescent="0.3">
      <c r="A35">
        <v>2004</v>
      </c>
      <c r="B35" s="1">
        <v>393468</v>
      </c>
      <c r="C35" s="1">
        <v>0</v>
      </c>
      <c r="D35" s="1">
        <v>760</v>
      </c>
      <c r="E35" s="1">
        <v>0</v>
      </c>
      <c r="F35" s="1">
        <v>99</v>
      </c>
      <c r="G35" s="1">
        <v>196</v>
      </c>
      <c r="H35" s="1">
        <v>390</v>
      </c>
      <c r="I35" s="1">
        <v>0</v>
      </c>
      <c r="J35" s="1">
        <v>946</v>
      </c>
      <c r="K35" s="1">
        <v>17044</v>
      </c>
      <c r="L35" s="1">
        <v>4700</v>
      </c>
      <c r="M35" s="1">
        <v>0</v>
      </c>
      <c r="N35" s="1">
        <v>5120</v>
      </c>
      <c r="O35" s="1">
        <v>32065</v>
      </c>
      <c r="P35" s="1">
        <v>0</v>
      </c>
      <c r="Q35" s="1">
        <v>0</v>
      </c>
      <c r="R35" s="1">
        <v>10449.024766887418</v>
      </c>
      <c r="S35" s="1">
        <v>100.64632255423304</v>
      </c>
      <c r="T35" s="1">
        <v>0</v>
      </c>
      <c r="U35" s="1">
        <v>21.0288</v>
      </c>
      <c r="V35" s="1">
        <v>0</v>
      </c>
      <c r="W35" s="1">
        <v>0</v>
      </c>
    </row>
    <row r="36" spans="1:23" x14ac:dyDescent="0.3">
      <c r="A36">
        <v>2005</v>
      </c>
      <c r="B36" s="1">
        <v>283860</v>
      </c>
      <c r="C36" s="1">
        <v>0</v>
      </c>
      <c r="D36" s="1">
        <v>0</v>
      </c>
      <c r="E36" s="1">
        <v>279</v>
      </c>
      <c r="F36" s="1">
        <v>0</v>
      </c>
      <c r="G36" s="1">
        <v>6029</v>
      </c>
      <c r="H36" s="1">
        <v>1257</v>
      </c>
      <c r="I36" s="1">
        <v>0</v>
      </c>
      <c r="J36" s="1">
        <v>2506</v>
      </c>
      <c r="K36" s="1">
        <v>14088</v>
      </c>
      <c r="L36" s="1">
        <v>4245</v>
      </c>
      <c r="M36" s="1">
        <v>0</v>
      </c>
      <c r="N36" s="1">
        <v>7753.5846256475452</v>
      </c>
      <c r="O36" s="1">
        <v>16805.718652317883</v>
      </c>
      <c r="P36" s="1">
        <v>175.53530000000001</v>
      </c>
      <c r="Q36" s="1">
        <v>0</v>
      </c>
      <c r="R36" s="1">
        <v>870.9615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</row>
    <row r="37" spans="1:23" x14ac:dyDescent="0.3">
      <c r="A37">
        <v>2006</v>
      </c>
      <c r="B37" s="1">
        <v>202366</v>
      </c>
      <c r="C37" s="1">
        <v>0</v>
      </c>
      <c r="D37" s="1">
        <v>0</v>
      </c>
      <c r="E37" s="1">
        <v>0</v>
      </c>
      <c r="F37" s="1">
        <v>23</v>
      </c>
      <c r="G37" s="1">
        <v>15167</v>
      </c>
      <c r="H37" s="1">
        <v>5207</v>
      </c>
      <c r="I37" s="1">
        <v>0</v>
      </c>
      <c r="J37" s="1">
        <v>4056.1845067559893</v>
      </c>
      <c r="K37" s="1">
        <v>27613.834479196037</v>
      </c>
      <c r="L37" s="1">
        <v>6531.9765046357616</v>
      </c>
      <c r="M37" s="1">
        <v>0</v>
      </c>
      <c r="N37" s="1">
        <v>13395.055455467751</v>
      </c>
      <c r="O37" s="1">
        <v>8786.4791000000005</v>
      </c>
      <c r="P37" s="1">
        <v>0</v>
      </c>
      <c r="Q37" s="1">
        <v>0.2633081550421526</v>
      </c>
      <c r="R37" s="1">
        <v>1026.5336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</row>
    <row r="38" spans="1:23" x14ac:dyDescent="0.3">
      <c r="A38">
        <v>2007</v>
      </c>
      <c r="B38" s="1">
        <v>294740</v>
      </c>
      <c r="C38" s="1">
        <v>0</v>
      </c>
      <c r="D38" s="1">
        <v>0</v>
      </c>
      <c r="E38" s="1">
        <v>759</v>
      </c>
      <c r="F38" s="1">
        <v>20.390158725070556</v>
      </c>
      <c r="G38" s="1">
        <v>3832.2331513630861</v>
      </c>
      <c r="H38" s="1">
        <v>16049.46800273768</v>
      </c>
      <c r="I38" s="1">
        <v>0</v>
      </c>
      <c r="J38" s="1">
        <v>10030.043338412008</v>
      </c>
      <c r="K38" s="1">
        <v>175425.64226241631</v>
      </c>
      <c r="L38" s="1">
        <v>1588.7554</v>
      </c>
      <c r="M38" s="1">
        <v>21.457293914945343</v>
      </c>
      <c r="N38" s="1">
        <v>158348.35245695733</v>
      </c>
      <c r="O38" s="1">
        <v>9584.1522999999997</v>
      </c>
      <c r="P38" s="1">
        <v>0</v>
      </c>
      <c r="Q38" s="1">
        <v>699.69826466539484</v>
      </c>
      <c r="R38" s="1">
        <v>5642.7299000000003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 spans="1:23" x14ac:dyDescent="0.3">
      <c r="A39">
        <v>2008</v>
      </c>
      <c r="B39" s="1">
        <v>82191</v>
      </c>
      <c r="C39" s="1">
        <v>0</v>
      </c>
      <c r="D39" s="1">
        <v>0</v>
      </c>
      <c r="E39" s="1">
        <v>338.31380000000001</v>
      </c>
      <c r="F39" s="1">
        <v>0</v>
      </c>
      <c r="G39" s="1">
        <v>15219.011771202529</v>
      </c>
      <c r="H39" s="1">
        <v>10309.3909</v>
      </c>
      <c r="I39" s="1">
        <v>102.36631596541231</v>
      </c>
      <c r="J39" s="1">
        <v>44996.359132884922</v>
      </c>
      <c r="K39" s="1">
        <v>184374.95218648639</v>
      </c>
      <c r="L39" s="1">
        <v>2181.8467000000001</v>
      </c>
      <c r="M39" s="1">
        <v>136.93250036005432</v>
      </c>
      <c r="N39" s="1">
        <v>145950.39942094398</v>
      </c>
      <c r="O39" s="1">
        <v>9675.0053000000007</v>
      </c>
      <c r="P39" s="1">
        <v>0</v>
      </c>
      <c r="Q39" s="1">
        <v>62.559327357034405</v>
      </c>
      <c r="R39" s="1">
        <v>1598.9748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</row>
    <row r="40" spans="1:23" x14ac:dyDescent="0.3">
      <c r="A40">
        <v>2009</v>
      </c>
      <c r="B40" s="1">
        <v>52798</v>
      </c>
      <c r="C40" s="1">
        <v>0</v>
      </c>
      <c r="D40" s="1">
        <v>0</v>
      </c>
      <c r="E40" s="1">
        <v>239.8912</v>
      </c>
      <c r="F40" s="1">
        <v>8.435917833974651</v>
      </c>
      <c r="G40" s="1">
        <v>20084.014571050699</v>
      </c>
      <c r="H40" s="1">
        <v>22414.132494972011</v>
      </c>
      <c r="I40" s="1">
        <v>0</v>
      </c>
      <c r="J40" s="1">
        <v>7071.4414561420263</v>
      </c>
      <c r="K40" s="1">
        <v>186660.18023736292</v>
      </c>
      <c r="L40" s="1">
        <v>977.8261</v>
      </c>
      <c r="M40" s="1">
        <v>0</v>
      </c>
      <c r="N40" s="1">
        <v>27530.288634552606</v>
      </c>
      <c r="O40" s="1">
        <v>2047.7024999999999</v>
      </c>
      <c r="P40" s="1">
        <v>0</v>
      </c>
      <c r="Q40" s="1">
        <v>0</v>
      </c>
      <c r="R40" s="1">
        <v>0.72629999999999995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</row>
    <row r="41" spans="1:23" x14ac:dyDescent="0.3">
      <c r="A41">
        <v>2010</v>
      </c>
      <c r="B41" s="1">
        <v>71453</v>
      </c>
      <c r="C41" s="1">
        <v>0</v>
      </c>
      <c r="D41" s="1">
        <v>0</v>
      </c>
      <c r="E41" s="1">
        <v>2288.1552689662176</v>
      </c>
      <c r="F41" s="1">
        <v>0</v>
      </c>
      <c r="G41" s="1">
        <v>28315.376474323974</v>
      </c>
      <c r="H41" s="1">
        <v>41549.486509608279</v>
      </c>
      <c r="I41" s="1">
        <v>0</v>
      </c>
      <c r="J41" s="1">
        <v>23538.274406691558</v>
      </c>
      <c r="K41" s="1">
        <v>276983.09472862753</v>
      </c>
      <c r="L41" s="1">
        <v>1242.0612000000001</v>
      </c>
      <c r="M41" s="1">
        <v>0</v>
      </c>
      <c r="N41" s="1">
        <v>18646.854579240153</v>
      </c>
      <c r="O41" s="1">
        <v>3699.8779999999997</v>
      </c>
      <c r="P41" s="1">
        <v>0</v>
      </c>
      <c r="Q41" s="1">
        <v>33.107609333333329</v>
      </c>
      <c r="R41" s="1">
        <v>446.79254386666662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</row>
    <row r="42" spans="1:23" x14ac:dyDescent="0.3">
      <c r="A42">
        <v>2011</v>
      </c>
      <c r="B42" s="1">
        <v>87049</v>
      </c>
      <c r="C42" s="1">
        <v>148.35939999999999</v>
      </c>
      <c r="D42" s="1">
        <v>184.38442880018431</v>
      </c>
      <c r="E42" s="1">
        <v>1556.4138756962304</v>
      </c>
      <c r="F42" s="1">
        <v>0</v>
      </c>
      <c r="G42" s="1">
        <v>23576.141012479351</v>
      </c>
      <c r="H42" s="1">
        <v>28229.518430641278</v>
      </c>
      <c r="I42" s="1">
        <v>0</v>
      </c>
      <c r="J42" s="1">
        <v>9274.1773520298375</v>
      </c>
      <c r="K42" s="1">
        <v>129421.33763001309</v>
      </c>
      <c r="L42" s="1">
        <v>1154.8961999999999</v>
      </c>
      <c r="M42" s="1">
        <v>493.68770099999989</v>
      </c>
      <c r="N42" s="1">
        <v>46345.211744333334</v>
      </c>
      <c r="O42" s="1">
        <v>804.79897146666667</v>
      </c>
      <c r="P42" s="1">
        <v>0</v>
      </c>
      <c r="Q42" s="1">
        <v>49.118079750696147</v>
      </c>
      <c r="R42" s="1">
        <v>251.24600000000001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</row>
    <row r="43" spans="1:23" x14ac:dyDescent="0.3">
      <c r="A43">
        <v>2012</v>
      </c>
      <c r="B43" s="1">
        <v>188085</v>
      </c>
      <c r="C43" s="1">
        <v>0</v>
      </c>
      <c r="D43" s="1">
        <v>0</v>
      </c>
      <c r="E43" s="1">
        <v>932.03779422182629</v>
      </c>
      <c r="F43" s="1">
        <v>0</v>
      </c>
      <c r="G43" s="1">
        <v>28938.328200760141</v>
      </c>
      <c r="H43" s="1">
        <v>23414.67502655444</v>
      </c>
      <c r="I43" s="1">
        <v>280.14418933333332</v>
      </c>
      <c r="J43" s="1">
        <v>58090.929898200004</v>
      </c>
      <c r="K43" s="1">
        <v>266861.18038726668</v>
      </c>
      <c r="L43" s="1">
        <v>2088.6603</v>
      </c>
      <c r="M43" s="1">
        <v>49.094914311867697</v>
      </c>
      <c r="N43" s="1">
        <v>29594.351700791347</v>
      </c>
      <c r="O43" s="1">
        <v>1714.28809871</v>
      </c>
      <c r="P43" s="1">
        <v>0</v>
      </c>
      <c r="Q43" s="1">
        <v>0</v>
      </c>
      <c r="R43" s="1">
        <v>409.81200000000001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</row>
    <row r="44" spans="1:23" x14ac:dyDescent="0.3">
      <c r="A44">
        <v>2013</v>
      </c>
      <c r="B44" s="1">
        <v>234880</v>
      </c>
      <c r="C44" s="1">
        <v>0</v>
      </c>
      <c r="D44" s="1">
        <v>0</v>
      </c>
      <c r="E44" s="1">
        <v>1207.5171399320343</v>
      </c>
      <c r="F44" s="1">
        <v>2883.3157228</v>
      </c>
      <c r="G44" s="1">
        <v>30721.597964466666</v>
      </c>
      <c r="H44" s="1">
        <v>21557.981544466667</v>
      </c>
      <c r="I44" s="1">
        <v>0</v>
      </c>
      <c r="J44" s="1">
        <v>6425.3300811530144</v>
      </c>
      <c r="K44" s="1">
        <v>187431.82401199057</v>
      </c>
      <c r="L44" s="1">
        <v>1984.0130729100001</v>
      </c>
      <c r="M44" s="1">
        <v>0</v>
      </c>
      <c r="N44" s="1">
        <v>96899.8278699043</v>
      </c>
      <c r="O44" s="1">
        <v>8259.7090000000007</v>
      </c>
      <c r="P44" s="1">
        <v>0</v>
      </c>
      <c r="Q44" s="1">
        <v>0</v>
      </c>
      <c r="R44" s="1">
        <v>405.72899999999993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</row>
    <row r="45" spans="1:23" x14ac:dyDescent="0.3">
      <c r="A45">
        <v>2014</v>
      </c>
      <c r="B45" s="1">
        <v>252097</v>
      </c>
      <c r="C45" s="1">
        <v>0</v>
      </c>
      <c r="D45" s="1">
        <v>362.27768860000003</v>
      </c>
      <c r="E45" s="1">
        <v>604.98561226666664</v>
      </c>
      <c r="F45" s="1">
        <v>49.118079750696147</v>
      </c>
      <c r="G45" s="1">
        <v>8379.5203974636861</v>
      </c>
      <c r="H45" s="1">
        <v>8919.2885510100878</v>
      </c>
      <c r="I45" s="1">
        <v>0</v>
      </c>
      <c r="J45" s="1">
        <v>3382.1149372511136</v>
      </c>
      <c r="K45" s="1">
        <v>87324.570856120437</v>
      </c>
      <c r="L45" s="1">
        <v>492.08699999999999</v>
      </c>
      <c r="M45" s="1">
        <v>0</v>
      </c>
      <c r="N45" s="1">
        <v>13910.206963806075</v>
      </c>
      <c r="O45" s="1">
        <v>1482.329</v>
      </c>
      <c r="P45" s="1">
        <v>0</v>
      </c>
      <c r="Q45" s="1">
        <v>0</v>
      </c>
      <c r="R45" s="1">
        <v>67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 spans="1:23" x14ac:dyDescent="0.3">
      <c r="A46">
        <v>2015</v>
      </c>
      <c r="B46" s="1">
        <v>260758</v>
      </c>
      <c r="C46" s="1">
        <v>80.352156133333324</v>
      </c>
      <c r="D46" s="1">
        <v>1165.1646753808379</v>
      </c>
      <c r="E46" s="1">
        <v>1515.7896688397466</v>
      </c>
      <c r="F46" s="1">
        <v>3042.3109883035963</v>
      </c>
      <c r="G46" s="1">
        <v>20573.326836370405</v>
      </c>
      <c r="H46" s="1">
        <v>22130.789000000004</v>
      </c>
      <c r="I46" s="1">
        <v>0</v>
      </c>
      <c r="J46" s="1">
        <v>6718.4885748851366</v>
      </c>
      <c r="K46" s="1">
        <v>137085.38529975765</v>
      </c>
      <c r="L46" s="1">
        <v>1818.921</v>
      </c>
      <c r="M46" s="1">
        <v>0</v>
      </c>
      <c r="N46" s="1">
        <v>36244.259094594592</v>
      </c>
      <c r="O46" s="1">
        <v>3714.643</v>
      </c>
      <c r="P46" s="1">
        <v>0</v>
      </c>
      <c r="Q46" s="1">
        <v>0</v>
      </c>
      <c r="R46" s="1">
        <v>221.53600000000003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</row>
    <row r="47" spans="1:23" x14ac:dyDescent="0.3">
      <c r="A47">
        <v>2016</v>
      </c>
      <c r="B47" s="1">
        <v>173874</v>
      </c>
      <c r="C47" s="1">
        <v>0</v>
      </c>
      <c r="D47" s="1">
        <v>136.25236182949416</v>
      </c>
      <c r="E47" s="1">
        <v>110.191</v>
      </c>
      <c r="F47" s="1">
        <v>0</v>
      </c>
      <c r="G47" s="1">
        <v>6742.0222589948162</v>
      </c>
      <c r="H47" s="1">
        <v>11438.890000000003</v>
      </c>
      <c r="I47" s="1">
        <v>0</v>
      </c>
      <c r="J47" s="1">
        <v>3586.8117305743244</v>
      </c>
      <c r="K47" s="1">
        <v>63429.821693130631</v>
      </c>
      <c r="L47" s="1">
        <v>834</v>
      </c>
      <c r="M47" s="1">
        <v>0</v>
      </c>
      <c r="N47" s="1">
        <v>7244.6707557078298</v>
      </c>
      <c r="O47" s="1">
        <v>2745.8040000000001</v>
      </c>
      <c r="P47" s="1">
        <v>0</v>
      </c>
      <c r="Q47" s="1">
        <v>0</v>
      </c>
      <c r="R47" s="1">
        <v>850.57658000000004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</row>
    <row r="48" spans="1:23" x14ac:dyDescent="0.3">
      <c r="A48">
        <v>2017</v>
      </c>
      <c r="B48" s="1">
        <v>242599</v>
      </c>
      <c r="C48" s="1">
        <v>0</v>
      </c>
      <c r="D48" s="1">
        <v>0</v>
      </c>
      <c r="E48" s="1">
        <v>1030.6260269010756</v>
      </c>
      <c r="F48" s="1">
        <v>0</v>
      </c>
      <c r="G48" s="1">
        <v>8305.348266610361</v>
      </c>
      <c r="H48" s="1">
        <v>22470</v>
      </c>
      <c r="I48" s="1">
        <v>0</v>
      </c>
      <c r="J48" s="1">
        <v>5517.9965020502095</v>
      </c>
      <c r="K48" s="1">
        <v>163830.96159469773</v>
      </c>
      <c r="L48" s="1">
        <v>3383.2969999999996</v>
      </c>
      <c r="M48" s="1">
        <v>0</v>
      </c>
      <c r="N48" s="1">
        <v>67708.913467029692</v>
      </c>
      <c r="O48" s="1">
        <v>11738.516970000001</v>
      </c>
      <c r="P48" s="1">
        <v>0</v>
      </c>
      <c r="Q48" s="1">
        <v>0</v>
      </c>
      <c r="R48" s="1">
        <v>34.997999999999998</v>
      </c>
      <c r="S48" s="1">
        <v>0</v>
      </c>
      <c r="T48" s="1">
        <v>0</v>
      </c>
      <c r="U48" s="1">
        <v>0</v>
      </c>
      <c r="V48" s="1">
        <v>0</v>
      </c>
      <c r="W48" s="1"/>
    </row>
    <row r="49" spans="1:23" x14ac:dyDescent="0.3">
      <c r="A49">
        <v>2018</v>
      </c>
      <c r="B49" s="1">
        <v>205054</v>
      </c>
      <c r="C49" s="1">
        <v>0</v>
      </c>
      <c r="D49" s="1">
        <v>0</v>
      </c>
      <c r="E49" s="1">
        <v>43</v>
      </c>
      <c r="F49" s="1">
        <v>0</v>
      </c>
      <c r="G49" s="1">
        <v>8561.6026341313136</v>
      </c>
      <c r="H49" s="1">
        <v>14400.88485193025</v>
      </c>
      <c r="I49" s="1">
        <v>0</v>
      </c>
      <c r="J49" s="1">
        <v>8540.9873296674632</v>
      </c>
      <c r="K49" s="1">
        <v>152970.52651014255</v>
      </c>
      <c r="L49" s="1">
        <v>2997.8339999999998</v>
      </c>
      <c r="M49" s="1">
        <v>0</v>
      </c>
      <c r="N49" s="1">
        <v>21988.079433237526</v>
      </c>
      <c r="O49" s="1">
        <v>17723.54</v>
      </c>
      <c r="P49" s="1">
        <v>0</v>
      </c>
      <c r="Q49" s="1">
        <v>0</v>
      </c>
      <c r="R49" s="1">
        <v>227.86600000000004</v>
      </c>
      <c r="S49" s="1">
        <v>0</v>
      </c>
      <c r="T49" s="1"/>
      <c r="U49" s="1"/>
      <c r="V49" s="1"/>
      <c r="W49" s="1"/>
    </row>
    <row r="50" spans="1:23" x14ac:dyDescent="0.3">
      <c r="A50">
        <v>2019</v>
      </c>
      <c r="B50" s="1">
        <v>190168</v>
      </c>
      <c r="C50" s="1">
        <v>0</v>
      </c>
      <c r="D50" s="1">
        <v>38.913750422898033</v>
      </c>
      <c r="E50" s="1">
        <v>133.91</v>
      </c>
      <c r="F50" s="1">
        <v>77.554798819184896</v>
      </c>
      <c r="G50" s="1">
        <v>10295.16610190937</v>
      </c>
      <c r="H50" s="1">
        <v>7894.8539999999994</v>
      </c>
      <c r="I50" s="1">
        <v>0</v>
      </c>
      <c r="J50" s="1">
        <v>541.39298300115865</v>
      </c>
      <c r="K50" s="1">
        <v>25074.164361123007</v>
      </c>
      <c r="L50" s="1">
        <v>246.80899999999997</v>
      </c>
      <c r="M50" s="1">
        <v>0</v>
      </c>
      <c r="N50" s="1">
        <v>22367.387999999999</v>
      </c>
      <c r="O50" s="1">
        <v>205.08100000000002</v>
      </c>
      <c r="P50" s="1">
        <v>0</v>
      </c>
      <c r="Q50" s="1"/>
      <c r="R50" s="1"/>
      <c r="S50" s="1"/>
      <c r="T50" s="1"/>
      <c r="U50" s="1"/>
      <c r="V50" s="1"/>
      <c r="W50" s="1"/>
    </row>
    <row r="51" spans="1:23" x14ac:dyDescent="0.3">
      <c r="A51">
        <v>2020</v>
      </c>
      <c r="B51" s="1">
        <v>158846</v>
      </c>
      <c r="C51" s="1">
        <v>0</v>
      </c>
      <c r="D51" s="1">
        <v>0</v>
      </c>
      <c r="E51" s="1">
        <v>992.56168570251918</v>
      </c>
      <c r="F51" s="1">
        <v>0</v>
      </c>
      <c r="G51" s="1">
        <v>3848.6010367884528</v>
      </c>
      <c r="H51" s="1">
        <v>2700.5889999999999</v>
      </c>
      <c r="I51" s="1">
        <v>0</v>
      </c>
      <c r="J51" s="1">
        <v>1535.4569461922592</v>
      </c>
      <c r="K51" s="1">
        <v>39115.697</v>
      </c>
      <c r="L51" s="1">
        <v>228.51199999999997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>
        <v>2021</v>
      </c>
      <c r="B52" s="1">
        <v>131775</v>
      </c>
      <c r="C52" s="1">
        <v>0</v>
      </c>
      <c r="D52" s="1">
        <v>0</v>
      </c>
      <c r="E52" s="1">
        <v>143.75</v>
      </c>
      <c r="F52" s="1">
        <v>0</v>
      </c>
      <c r="G52" s="1">
        <v>10392.681661024319</v>
      </c>
      <c r="H52" s="1">
        <v>6136.1730000000007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>
        <v>2022</v>
      </c>
      <c r="B53" s="1">
        <v>177008</v>
      </c>
      <c r="C53" s="1">
        <v>0</v>
      </c>
      <c r="D53" s="1">
        <v>0</v>
      </c>
      <c r="E53" s="1"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>
        <v>2023</v>
      </c>
      <c r="B54">
        <v>188980</v>
      </c>
      <c r="C54">
        <v>0</v>
      </c>
    </row>
    <row r="55" spans="1:23" x14ac:dyDescent="0.3">
      <c r="A55">
        <v>2024</v>
      </c>
      <c r="B55">
        <v>67801</v>
      </c>
    </row>
    <row r="56" spans="1:23" x14ac:dyDescent="0.3">
      <c r="A56">
        <v>2025</v>
      </c>
      <c r="B56">
        <v>67489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8B71-7F0C-4457-A839-3161BBD221D5}">
  <dimension ref="A1:AA46"/>
  <sheetViews>
    <sheetView topLeftCell="A4" workbookViewId="0">
      <selection activeCell="AB38" sqref="AB38"/>
    </sheetView>
  </sheetViews>
  <sheetFormatPr defaultRowHeight="14.4" x14ac:dyDescent="0.3"/>
  <cols>
    <col min="3" max="3" width="3.5546875" bestFit="1" customWidth="1"/>
    <col min="4" max="4" width="5.6640625" bestFit="1" customWidth="1"/>
    <col min="5" max="5" width="4.88671875" bestFit="1" customWidth="1"/>
    <col min="6" max="7" width="6.5546875" bestFit="1" customWidth="1"/>
    <col min="8" max="8" width="4.88671875" bestFit="1" customWidth="1"/>
    <col min="9" max="9" width="7.88671875" bestFit="1" customWidth="1"/>
    <col min="10" max="10" width="6.5546875" bestFit="1" customWidth="1"/>
    <col min="11" max="11" width="3.5546875" bestFit="1" customWidth="1"/>
    <col min="12" max="12" width="4.88671875" bestFit="1" customWidth="1"/>
    <col min="13" max="13" width="5.6640625" bestFit="1" customWidth="1"/>
    <col min="14" max="14" width="6.5546875" bestFit="1" customWidth="1"/>
    <col min="15" max="15" width="5.6640625" bestFit="1" customWidth="1"/>
    <col min="16" max="16" width="3.5546875" bestFit="1" customWidth="1"/>
    <col min="17" max="17" width="4.88671875" bestFit="1" customWidth="1"/>
    <col min="18" max="18" width="5.6640625" bestFit="1" customWidth="1"/>
    <col min="19" max="20" width="3.5546875" bestFit="1" customWidth="1"/>
    <col min="21" max="21" width="4.88671875" bestFit="1" customWidth="1"/>
    <col min="22" max="22" width="3.5546875" bestFit="1" customWidth="1"/>
    <col min="23" max="23" width="7.88671875" bestFit="1" customWidth="1"/>
  </cols>
  <sheetData>
    <row r="1" spans="1:27" x14ac:dyDescent="0.3">
      <c r="A1" s="4" t="s">
        <v>29</v>
      </c>
    </row>
    <row r="2" spans="1:27" x14ac:dyDescent="0.3">
      <c r="A2" s="51"/>
      <c r="B2" s="51"/>
      <c r="C2" s="52" t="s">
        <v>35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3"/>
    </row>
    <row r="3" spans="1:27" x14ac:dyDescent="0.3">
      <c r="A3" s="54" t="s">
        <v>2</v>
      </c>
      <c r="B3" s="55" t="s">
        <v>7</v>
      </c>
      <c r="C3" s="55">
        <v>0.1</v>
      </c>
      <c r="D3" s="55" t="s">
        <v>16</v>
      </c>
      <c r="E3" s="55" t="s">
        <v>17</v>
      </c>
      <c r="F3" s="55" t="s">
        <v>18</v>
      </c>
      <c r="G3" s="55" t="s">
        <v>19</v>
      </c>
      <c r="H3" s="55" t="s">
        <v>20</v>
      </c>
      <c r="I3" s="55" t="s">
        <v>21</v>
      </c>
      <c r="J3" s="55" t="s">
        <v>22</v>
      </c>
      <c r="K3" s="55">
        <v>3.1</v>
      </c>
      <c r="L3" s="55">
        <v>0.4</v>
      </c>
      <c r="M3" s="55" t="s">
        <v>23</v>
      </c>
      <c r="N3" s="55" t="s">
        <v>24</v>
      </c>
      <c r="O3" s="55" t="s">
        <v>25</v>
      </c>
      <c r="P3" s="55">
        <v>4.0999999999999996</v>
      </c>
      <c r="Q3" s="55" t="s">
        <v>26</v>
      </c>
      <c r="R3" s="55" t="s">
        <v>27</v>
      </c>
      <c r="S3" s="55">
        <v>4.2</v>
      </c>
      <c r="T3" s="55">
        <v>2.5</v>
      </c>
      <c r="U3" s="55">
        <v>3.4</v>
      </c>
      <c r="V3" s="55">
        <v>4.3</v>
      </c>
      <c r="W3" s="55" t="s">
        <v>28</v>
      </c>
    </row>
    <row r="4" spans="1:27" x14ac:dyDescent="0.3">
      <c r="A4" s="6">
        <v>1983</v>
      </c>
      <c r="B4" s="10">
        <v>426177.65579025185</v>
      </c>
      <c r="C4" s="7">
        <v>0</v>
      </c>
      <c r="D4" s="7">
        <v>0</v>
      </c>
      <c r="E4" s="7">
        <v>0</v>
      </c>
      <c r="F4" s="7">
        <v>17466.266024629698</v>
      </c>
      <c r="G4" s="7">
        <v>73043.058198518294</v>
      </c>
      <c r="H4" s="7">
        <v>2205.5567564128501</v>
      </c>
      <c r="I4" s="7">
        <v>242099.95806894801</v>
      </c>
      <c r="J4" s="7">
        <v>28031.2930113865</v>
      </c>
      <c r="K4" s="7">
        <v>0</v>
      </c>
      <c r="L4" s="7">
        <v>193.12790623743899</v>
      </c>
      <c r="M4" s="7">
        <v>282.92596161725697</v>
      </c>
      <c r="N4" s="7">
        <v>236126.51283434001</v>
      </c>
      <c r="O4" s="7">
        <v>0.84483638487027402</v>
      </c>
      <c r="P4" s="7">
        <v>0</v>
      </c>
      <c r="Q4" s="7">
        <v>1970.05853727111</v>
      </c>
      <c r="R4" s="7">
        <v>640.54247741253005</v>
      </c>
      <c r="S4" s="7">
        <v>0</v>
      </c>
      <c r="T4" s="7">
        <v>0.11476373736704699</v>
      </c>
      <c r="U4" s="7">
        <v>0</v>
      </c>
      <c r="V4" s="7">
        <v>0</v>
      </c>
      <c r="W4" s="7">
        <v>602060.25937689596</v>
      </c>
    </row>
    <row r="5" spans="1:27" x14ac:dyDescent="0.3">
      <c r="A5" s="8">
        <v>1984</v>
      </c>
      <c r="B5" s="11">
        <v>597712.78197277675</v>
      </c>
      <c r="C5" s="9">
        <v>0</v>
      </c>
      <c r="D5" s="9">
        <v>558.99253185504904</v>
      </c>
      <c r="E5" s="9">
        <v>1777.7094985316201</v>
      </c>
      <c r="F5" s="9">
        <v>1322.73305245338</v>
      </c>
      <c r="G5" s="9">
        <v>48739.905653362897</v>
      </c>
      <c r="H5" s="9">
        <v>1189.5441894492801</v>
      </c>
      <c r="I5" s="9">
        <v>401078.10753623903</v>
      </c>
      <c r="J5" s="9">
        <v>51277.362508515303</v>
      </c>
      <c r="K5" s="9">
        <v>0</v>
      </c>
      <c r="L5" s="9">
        <v>0</v>
      </c>
      <c r="M5" s="9">
        <v>2321.03059667768</v>
      </c>
      <c r="N5" s="9">
        <v>278455.568222798</v>
      </c>
      <c r="O5" s="9">
        <v>643.42721870369905</v>
      </c>
      <c r="P5" s="9">
        <v>0</v>
      </c>
      <c r="Q5" s="9">
        <v>709.97431910091996</v>
      </c>
      <c r="R5" s="9">
        <v>2147.3205280940301</v>
      </c>
      <c r="S5" s="9">
        <v>0</v>
      </c>
      <c r="T5" s="9">
        <v>0</v>
      </c>
      <c r="U5" s="9">
        <v>0</v>
      </c>
      <c r="V5" s="9">
        <v>0</v>
      </c>
      <c r="W5" s="9">
        <v>790221.67585578095</v>
      </c>
      <c r="AA5" s="1"/>
    </row>
    <row r="6" spans="1:27" x14ac:dyDescent="0.3">
      <c r="A6" s="8">
        <v>1985</v>
      </c>
      <c r="B6" s="11">
        <v>376578</v>
      </c>
      <c r="C6" s="9">
        <v>190.87105882915</v>
      </c>
      <c r="D6" s="9">
        <v>193.12790623743899</v>
      </c>
      <c r="E6" s="9">
        <v>448.913787531129</v>
      </c>
      <c r="F6" s="9">
        <v>604.05344661148604</v>
      </c>
      <c r="G6" s="9">
        <v>50973.710031206298</v>
      </c>
      <c r="H6" s="9">
        <v>464.01435390966498</v>
      </c>
      <c r="I6" s="9">
        <v>391502.87193107599</v>
      </c>
      <c r="J6" s="9">
        <v>62323.631088053</v>
      </c>
      <c r="K6" s="9">
        <v>0</v>
      </c>
      <c r="L6" s="9">
        <v>876.09540765229895</v>
      </c>
      <c r="M6" s="9">
        <v>23658.193210078</v>
      </c>
      <c r="N6" s="9">
        <v>367607.56415058201</v>
      </c>
      <c r="O6" s="9">
        <v>1783.3942320113799</v>
      </c>
      <c r="P6" s="9">
        <v>0</v>
      </c>
      <c r="Q6" s="9">
        <v>1360.90517742168</v>
      </c>
      <c r="R6" s="9">
        <v>11317.167503625</v>
      </c>
      <c r="S6" s="9">
        <v>0</v>
      </c>
      <c r="T6" s="9">
        <v>0</v>
      </c>
      <c r="U6" s="9">
        <v>0</v>
      </c>
      <c r="V6" s="9">
        <v>0</v>
      </c>
      <c r="W6" s="9">
        <v>913304.51328482467</v>
      </c>
      <c r="AA6" s="1"/>
    </row>
    <row r="7" spans="1:27" x14ac:dyDescent="0.3">
      <c r="A7" s="8">
        <v>1986</v>
      </c>
      <c r="B7" s="11">
        <v>498817.62398080202</v>
      </c>
      <c r="C7" s="9">
        <v>385.457882237994</v>
      </c>
      <c r="D7" s="9">
        <v>440.56698759593303</v>
      </c>
      <c r="E7" s="9">
        <v>1731.4502268291101</v>
      </c>
      <c r="F7" s="9">
        <v>5048.2979937431301</v>
      </c>
      <c r="G7" s="9">
        <v>391094.48634736403</v>
      </c>
      <c r="H7" s="9">
        <v>9.2821623477126703E-4</v>
      </c>
      <c r="I7" s="9">
        <v>2006912.27950955</v>
      </c>
      <c r="J7" s="9">
        <v>63742.7807078927</v>
      </c>
      <c r="K7" s="9">
        <v>8.8863204582512498</v>
      </c>
      <c r="L7" s="9">
        <v>8.8863204582512498</v>
      </c>
      <c r="M7" s="9">
        <v>3407.5657088805901</v>
      </c>
      <c r="N7" s="9">
        <v>277157.32229725597</v>
      </c>
      <c r="O7" s="9">
        <v>15577.653542067799</v>
      </c>
      <c r="P7" s="9">
        <v>0</v>
      </c>
      <c r="Q7" s="9">
        <v>5196.0645537997998</v>
      </c>
      <c r="R7" s="9">
        <v>1038.3969149796701</v>
      </c>
      <c r="S7" s="9">
        <v>0</v>
      </c>
      <c r="T7" s="9">
        <v>0</v>
      </c>
      <c r="U7" s="9">
        <v>5.82250018515462E-2</v>
      </c>
      <c r="V7" s="9">
        <v>0</v>
      </c>
      <c r="W7" s="9">
        <v>2771750.1544663305</v>
      </c>
      <c r="AA7" s="1"/>
    </row>
    <row r="8" spans="1:27" x14ac:dyDescent="0.3">
      <c r="A8" s="8">
        <v>1987</v>
      </c>
      <c r="B8" s="11">
        <v>490453.84352074203</v>
      </c>
      <c r="C8" s="9">
        <v>0</v>
      </c>
      <c r="D8" s="9">
        <v>956.30470903615696</v>
      </c>
      <c r="E8" s="9">
        <v>2258.8589370129198</v>
      </c>
      <c r="F8" s="9">
        <v>1138.67768375938</v>
      </c>
      <c r="G8" s="9">
        <v>186751.288710747</v>
      </c>
      <c r="H8" s="9">
        <v>1086.73794156135</v>
      </c>
      <c r="I8" s="9">
        <v>893253.09574450599</v>
      </c>
      <c r="J8" s="9">
        <v>95484.001131029101</v>
      </c>
      <c r="K8" s="9">
        <v>43.881489217730604</v>
      </c>
      <c r="L8" s="9">
        <v>1021.17448797158</v>
      </c>
      <c r="M8" s="9">
        <v>10059.1766898202</v>
      </c>
      <c r="N8" s="9">
        <v>393664.44662326301</v>
      </c>
      <c r="O8" s="9">
        <v>2634.4349467413699</v>
      </c>
      <c r="P8" s="9">
        <v>0</v>
      </c>
      <c r="Q8" s="9">
        <v>5049.4828300372101</v>
      </c>
      <c r="R8" s="9">
        <v>2913.1830673112599</v>
      </c>
      <c r="S8" s="9">
        <v>0</v>
      </c>
      <c r="T8" s="9">
        <v>0</v>
      </c>
      <c r="U8" s="9">
        <v>67.290656860561896</v>
      </c>
      <c r="V8" s="9">
        <v>0</v>
      </c>
      <c r="W8" s="9">
        <v>1596382.0356488745</v>
      </c>
      <c r="AA8" s="1"/>
    </row>
    <row r="9" spans="1:27" x14ac:dyDescent="0.3">
      <c r="A9" s="8">
        <v>1988</v>
      </c>
      <c r="B9" s="11">
        <v>447972.018063961</v>
      </c>
      <c r="C9" s="9">
        <v>0</v>
      </c>
      <c r="D9" s="9">
        <v>0</v>
      </c>
      <c r="E9" s="9">
        <v>1974.6872287905701</v>
      </c>
      <c r="F9" s="9">
        <v>774.73293036072403</v>
      </c>
      <c r="G9" s="9">
        <v>94108.219833603202</v>
      </c>
      <c r="H9" s="9">
        <v>2051.7807847015702</v>
      </c>
      <c r="I9" s="9">
        <v>538727.27255207498</v>
      </c>
      <c r="J9" s="9">
        <v>119890.651260941</v>
      </c>
      <c r="K9" s="9">
        <v>292.44538156112901</v>
      </c>
      <c r="L9" s="9">
        <v>0</v>
      </c>
      <c r="M9" s="9">
        <v>3414.8643913578999</v>
      </c>
      <c r="N9" s="9">
        <v>705856.57737446798</v>
      </c>
      <c r="O9" s="9">
        <v>1297.93753070145</v>
      </c>
      <c r="P9" s="9">
        <v>0</v>
      </c>
      <c r="Q9" s="9">
        <v>488.81366354855498</v>
      </c>
      <c r="R9" s="9">
        <v>187.954870703578</v>
      </c>
      <c r="S9" s="9">
        <v>0</v>
      </c>
      <c r="T9" s="9">
        <v>0</v>
      </c>
      <c r="U9" s="9">
        <v>7.5593506818465096E-6</v>
      </c>
      <c r="V9" s="9">
        <v>0</v>
      </c>
      <c r="W9" s="9">
        <v>1469065.9378103721</v>
      </c>
      <c r="AA9" s="1"/>
    </row>
    <row r="10" spans="1:27" x14ac:dyDescent="0.3">
      <c r="A10" s="8">
        <v>1989</v>
      </c>
      <c r="B10" s="11">
        <v>463544.03345178202</v>
      </c>
      <c r="C10" s="9">
        <v>0</v>
      </c>
      <c r="D10" s="9">
        <v>46.641676717283097</v>
      </c>
      <c r="E10" s="9">
        <v>8257.9949992490692</v>
      </c>
      <c r="F10" s="9">
        <v>5440.9907556974704</v>
      </c>
      <c r="G10" s="9">
        <v>217894.28614003499</v>
      </c>
      <c r="H10" s="9">
        <v>2752.5222871074502</v>
      </c>
      <c r="I10" s="9">
        <v>713505.42000747204</v>
      </c>
      <c r="J10" s="9">
        <v>91350.591586733397</v>
      </c>
      <c r="K10" s="9">
        <v>1.4403772416849601E-3</v>
      </c>
      <c r="L10" s="9">
        <v>281.61537679209903</v>
      </c>
      <c r="M10" s="9">
        <v>4811.3793345908398</v>
      </c>
      <c r="N10" s="9">
        <v>236099.94052007899</v>
      </c>
      <c r="O10" s="9">
        <v>983.95363699982795</v>
      </c>
      <c r="P10" s="9">
        <v>0</v>
      </c>
      <c r="Q10" s="9">
        <v>1080.39220223249</v>
      </c>
      <c r="R10" s="9">
        <v>10919.0190050237</v>
      </c>
      <c r="S10" s="9">
        <v>3.3369934093967598E-8</v>
      </c>
      <c r="T10" s="9">
        <v>0</v>
      </c>
      <c r="U10" s="9">
        <v>188.65453535072999</v>
      </c>
      <c r="V10" s="9">
        <v>0.97189516874015502</v>
      </c>
      <c r="W10" s="9">
        <v>1293614.3753996596</v>
      </c>
      <c r="Y10">
        <v>1991</v>
      </c>
      <c r="Z10" s="1">
        <f>B12</f>
        <v>755845.698314065</v>
      </c>
      <c r="AA10" s="1">
        <f t="shared" ref="AA10:AA43" si="0">SUM(C10,D9:E9,F8:H8,I7:L7,M6:P6,Q5:S5,T4:V4)</f>
        <v>2657530.7856268208</v>
      </c>
    </row>
    <row r="11" spans="1:27" x14ac:dyDescent="0.3">
      <c r="A11" s="8">
        <v>1990</v>
      </c>
      <c r="B11" s="11">
        <v>500770.34095270297</v>
      </c>
      <c r="C11" s="9">
        <v>0</v>
      </c>
      <c r="D11" s="9">
        <v>1362.0862027508099</v>
      </c>
      <c r="E11" s="9">
        <v>574.32561183684902</v>
      </c>
      <c r="F11" s="9">
        <v>32453.332004857999</v>
      </c>
      <c r="G11" s="9">
        <v>127728.730061992</v>
      </c>
      <c r="H11" s="9">
        <v>3093.5060299530301</v>
      </c>
      <c r="I11" s="9">
        <v>569662.68226170295</v>
      </c>
      <c r="J11" s="9">
        <v>219792.99402840101</v>
      </c>
      <c r="K11" s="9">
        <v>0</v>
      </c>
      <c r="L11" s="9">
        <v>757.53456823260603</v>
      </c>
      <c r="M11" s="9">
        <v>5396.0349632342204</v>
      </c>
      <c r="N11" s="9">
        <v>530005.15259890805</v>
      </c>
      <c r="O11" s="9">
        <v>0.97189916424687695</v>
      </c>
      <c r="P11" s="9">
        <v>0</v>
      </c>
      <c r="Q11" s="9">
        <v>3985.3691409133098</v>
      </c>
      <c r="R11" s="9">
        <v>7871.2581740043897</v>
      </c>
      <c r="S11" s="9">
        <v>0</v>
      </c>
      <c r="T11" s="9">
        <v>0</v>
      </c>
      <c r="U11" s="9">
        <v>6.2753815158791096E-2</v>
      </c>
      <c r="V11" s="9">
        <v>0</v>
      </c>
      <c r="W11" s="9">
        <v>1502684.0402997665</v>
      </c>
      <c r="Y11">
        <v>1992</v>
      </c>
      <c r="Z11" s="1">
        <f t="shared" ref="Z11:Z44" si="1">B13</f>
        <v>435594.41587249801</v>
      </c>
      <c r="AA11" s="1">
        <f t="shared" si="0"/>
        <v>1403862.1373066071</v>
      </c>
    </row>
    <row r="12" spans="1:27" x14ac:dyDescent="0.3">
      <c r="A12" s="8">
        <v>1991</v>
      </c>
      <c r="B12" s="11">
        <v>755845.698314065</v>
      </c>
      <c r="C12" s="9">
        <v>0</v>
      </c>
      <c r="D12" s="9">
        <v>1568.4166480137901</v>
      </c>
      <c r="E12" s="9">
        <v>528.71855039389504</v>
      </c>
      <c r="F12" s="9">
        <v>2525.56679781701</v>
      </c>
      <c r="G12" s="9">
        <v>129795.931647073</v>
      </c>
      <c r="H12" s="9">
        <v>335.96407462631799</v>
      </c>
      <c r="I12" s="9">
        <v>1168205.3919192301</v>
      </c>
      <c r="J12" s="9">
        <v>31025.797830582502</v>
      </c>
      <c r="K12" s="9">
        <v>0</v>
      </c>
      <c r="L12" s="9">
        <v>755.27997584784896</v>
      </c>
      <c r="M12" s="9">
        <v>1530.82328398614</v>
      </c>
      <c r="N12" s="9">
        <v>130139.94395440401</v>
      </c>
      <c r="O12" s="9">
        <v>1227.0723488010899</v>
      </c>
      <c r="P12" s="9">
        <v>0</v>
      </c>
      <c r="Q12" s="9">
        <v>209.45299583789</v>
      </c>
      <c r="R12" s="9">
        <v>2929.4614153184302</v>
      </c>
      <c r="S12" s="9">
        <v>0</v>
      </c>
      <c r="T12" s="9">
        <v>0</v>
      </c>
      <c r="U12" s="9">
        <v>0</v>
      </c>
      <c r="V12" s="9">
        <v>0</v>
      </c>
      <c r="W12" s="9">
        <v>1470777.8214419323</v>
      </c>
      <c r="Y12">
        <v>1993</v>
      </c>
      <c r="Z12" s="1">
        <f t="shared" si="1"/>
        <v>432934.95219409303</v>
      </c>
      <c r="AA12" s="1">
        <f t="shared" si="0"/>
        <v>1299527.0999206088</v>
      </c>
    </row>
    <row r="13" spans="1:27" x14ac:dyDescent="0.3">
      <c r="A13" s="8">
        <v>1992</v>
      </c>
      <c r="B13" s="11">
        <v>435594.41587249801</v>
      </c>
      <c r="C13" s="9">
        <v>0</v>
      </c>
      <c r="D13" s="9">
        <v>2471.7688673668299</v>
      </c>
      <c r="E13" s="9">
        <v>684.16959685541599</v>
      </c>
      <c r="F13" s="9">
        <v>114842.32764265699</v>
      </c>
      <c r="G13" s="9">
        <v>48586.125654247102</v>
      </c>
      <c r="H13" s="9">
        <v>1791.5101929817299</v>
      </c>
      <c r="I13" s="9">
        <v>451182.69538189197</v>
      </c>
      <c r="J13" s="9">
        <v>69267.005399252506</v>
      </c>
      <c r="K13" s="9">
        <v>5.9733392304250401</v>
      </c>
      <c r="L13" s="9">
        <v>535.28528957528601</v>
      </c>
      <c r="M13" s="9">
        <v>1307.08737462043</v>
      </c>
      <c r="N13" s="9">
        <v>189572.30285228699</v>
      </c>
      <c r="O13" s="9">
        <v>2151.4603954901299</v>
      </c>
      <c r="P13" s="9">
        <v>0</v>
      </c>
      <c r="Q13" s="9">
        <v>9.5225700142471604E-7</v>
      </c>
      <c r="R13" s="9">
        <v>3217.4195065424601</v>
      </c>
      <c r="S13" s="9">
        <v>0</v>
      </c>
      <c r="T13" s="9">
        <v>0</v>
      </c>
      <c r="U13" s="9">
        <v>0</v>
      </c>
      <c r="V13" s="9">
        <v>0</v>
      </c>
      <c r="W13" s="9">
        <v>885615.1314939505</v>
      </c>
      <c r="Y13">
        <v>1994</v>
      </c>
      <c r="Z13" s="1">
        <f t="shared" si="1"/>
        <v>680547.89039929898</v>
      </c>
      <c r="AA13" s="1">
        <f t="shared" si="0"/>
        <v>1689042.4351254632</v>
      </c>
    </row>
    <row r="14" spans="1:27" x14ac:dyDescent="0.3">
      <c r="A14" s="8">
        <v>1993</v>
      </c>
      <c r="B14" s="11">
        <v>432934.95219409303</v>
      </c>
      <c r="C14" s="9">
        <v>0</v>
      </c>
      <c r="D14" s="9">
        <v>3261.6779205037601</v>
      </c>
      <c r="E14" s="9">
        <v>9.0343886593053195</v>
      </c>
      <c r="F14" s="9">
        <v>13224.3758963858</v>
      </c>
      <c r="G14" s="9">
        <v>53727.072411554698</v>
      </c>
      <c r="H14" s="9">
        <v>1578.5351176188301</v>
      </c>
      <c r="I14" s="9">
        <v>211610.285633425</v>
      </c>
      <c r="J14" s="9">
        <v>106230.49895638401</v>
      </c>
      <c r="K14" s="9">
        <v>0</v>
      </c>
      <c r="L14" s="9">
        <v>182.72607036315799</v>
      </c>
      <c r="M14" s="9">
        <v>643.47165477696001</v>
      </c>
      <c r="N14" s="9">
        <v>404776.40158352302</v>
      </c>
      <c r="O14" s="9">
        <v>1382.94493995673</v>
      </c>
      <c r="P14" s="9">
        <v>0</v>
      </c>
      <c r="Q14" s="9">
        <v>977.37936910365397</v>
      </c>
      <c r="R14" s="9">
        <v>392.47324865942801</v>
      </c>
      <c r="S14" s="9">
        <v>0</v>
      </c>
      <c r="T14" s="9">
        <v>0</v>
      </c>
      <c r="U14" s="9">
        <v>0</v>
      </c>
      <c r="V14" s="9">
        <v>0</v>
      </c>
      <c r="W14" s="9">
        <v>797996.87719091435</v>
      </c>
      <c r="Y14">
        <v>1995</v>
      </c>
      <c r="Z14" s="1">
        <f t="shared" si="1"/>
        <v>446160.145639972</v>
      </c>
      <c r="AA14" s="1">
        <f t="shared" si="0"/>
        <v>1168665.9445248577</v>
      </c>
    </row>
    <row r="15" spans="1:27" x14ac:dyDescent="0.3">
      <c r="A15" s="8">
        <v>1994</v>
      </c>
      <c r="B15" s="11">
        <v>680547.89039929898</v>
      </c>
      <c r="C15" s="9">
        <v>0</v>
      </c>
      <c r="D15" s="9">
        <v>338.21152808205198</v>
      </c>
      <c r="E15" s="9">
        <v>796.34078288430601</v>
      </c>
      <c r="F15" s="9">
        <v>0</v>
      </c>
      <c r="G15" s="9">
        <v>100592.425519296</v>
      </c>
      <c r="H15" s="9">
        <v>737.00638899395005</v>
      </c>
      <c r="I15" s="9">
        <v>1043909.43118727</v>
      </c>
      <c r="J15" s="9">
        <v>171623.434908614</v>
      </c>
      <c r="K15" s="9">
        <v>0</v>
      </c>
      <c r="L15" s="9">
        <v>0</v>
      </c>
      <c r="M15" s="9">
        <v>7966.3751160945803</v>
      </c>
      <c r="N15" s="9">
        <v>277779.478490229</v>
      </c>
      <c r="O15" s="9">
        <v>0.274174390595953</v>
      </c>
      <c r="P15" s="9">
        <v>0</v>
      </c>
      <c r="Q15" s="9">
        <v>484.64268440347701</v>
      </c>
      <c r="R15" s="9">
        <v>38.070630294914501</v>
      </c>
      <c r="S15" s="9">
        <v>5.5443607005276098E-5</v>
      </c>
      <c r="T15" s="9">
        <v>0</v>
      </c>
      <c r="U15" s="9">
        <v>0</v>
      </c>
      <c r="V15" s="9">
        <v>0</v>
      </c>
      <c r="W15" s="9">
        <v>1604265.6914659964</v>
      </c>
      <c r="Y15">
        <v>1996</v>
      </c>
      <c r="Z15" s="1">
        <f t="shared" si="1"/>
        <v>429462.98692098598</v>
      </c>
      <c r="AA15" s="1">
        <f t="shared" si="0"/>
        <v>1915878.7162008649</v>
      </c>
    </row>
    <row r="16" spans="1:27" x14ac:dyDescent="0.3">
      <c r="A16" s="8">
        <v>1995</v>
      </c>
      <c r="B16" s="11">
        <v>446160.145639972</v>
      </c>
      <c r="C16" s="9">
        <v>0</v>
      </c>
      <c r="D16" s="9">
        <v>1919.2079579137601</v>
      </c>
      <c r="E16" s="9">
        <v>878.73214499046401</v>
      </c>
      <c r="F16" s="9">
        <v>27998.595492509899</v>
      </c>
      <c r="G16" s="9">
        <v>428388.206557912</v>
      </c>
      <c r="H16" s="9">
        <v>0</v>
      </c>
      <c r="I16" s="9">
        <v>1076854.9693694101</v>
      </c>
      <c r="J16" s="9">
        <v>12919.5907031399</v>
      </c>
      <c r="K16" s="9">
        <v>5.8990861819519504E-6</v>
      </c>
      <c r="L16" s="9">
        <v>0</v>
      </c>
      <c r="M16" s="9">
        <v>6137.08049078572</v>
      </c>
      <c r="N16" s="9">
        <v>66991.596515780693</v>
      </c>
      <c r="O16" s="9">
        <v>2.1455274592390099E-2</v>
      </c>
      <c r="P16" s="9">
        <v>1.00159606412375E-7</v>
      </c>
      <c r="Q16" s="9">
        <v>817.38404381510304</v>
      </c>
      <c r="R16" s="9">
        <v>894.43240473836897</v>
      </c>
      <c r="S16" s="9">
        <v>0</v>
      </c>
      <c r="T16" s="9">
        <v>0</v>
      </c>
      <c r="U16" s="9">
        <v>0</v>
      </c>
      <c r="V16" s="9">
        <v>0</v>
      </c>
      <c r="W16" s="9">
        <v>1623799.8171422698</v>
      </c>
      <c r="Y16">
        <v>1997</v>
      </c>
      <c r="Z16" s="1">
        <f t="shared" si="1"/>
        <v>468839.87507183198</v>
      </c>
      <c r="AA16" s="1">
        <f t="shared" si="0"/>
        <v>735599.58847910422</v>
      </c>
    </row>
    <row r="17" spans="1:27" x14ac:dyDescent="0.3">
      <c r="A17" s="8">
        <v>1996</v>
      </c>
      <c r="B17" s="11">
        <v>429462.98692098598</v>
      </c>
      <c r="C17" s="9">
        <v>0</v>
      </c>
      <c r="D17" s="9">
        <v>7387.59546943224</v>
      </c>
      <c r="E17" s="9">
        <v>382.86221305111798</v>
      </c>
      <c r="F17" s="9">
        <v>56447.396830812198</v>
      </c>
      <c r="G17" s="9">
        <v>41927.155008153401</v>
      </c>
      <c r="H17" s="9">
        <v>5.8990861857328497E-6</v>
      </c>
      <c r="I17" s="9">
        <v>1216246.74510306</v>
      </c>
      <c r="J17" s="9">
        <v>10543.9959294131</v>
      </c>
      <c r="K17" s="9">
        <v>3.0254802901667598E-7</v>
      </c>
      <c r="L17" s="9">
        <v>649.54436176999695</v>
      </c>
      <c r="M17" s="9">
        <v>12172.140547516899</v>
      </c>
      <c r="N17" s="9">
        <v>258814.35464689601</v>
      </c>
      <c r="O17" s="9">
        <v>535.87527831920704</v>
      </c>
      <c r="P17" s="9">
        <v>0</v>
      </c>
      <c r="Q17" s="9">
        <v>576.08051099819795</v>
      </c>
      <c r="R17" s="9">
        <v>1229.2543114850801</v>
      </c>
      <c r="S17" s="9">
        <v>0</v>
      </c>
      <c r="T17" s="9">
        <v>0</v>
      </c>
      <c r="U17" s="9">
        <v>0</v>
      </c>
      <c r="V17" s="9">
        <v>0</v>
      </c>
      <c r="W17" s="9">
        <v>1606913.0002171088</v>
      </c>
      <c r="Y17">
        <v>1998</v>
      </c>
      <c r="Z17" s="1">
        <f t="shared" si="1"/>
        <v>482890.351816501</v>
      </c>
      <c r="AA17" s="1">
        <f t="shared" si="0"/>
        <v>618320.71045873547</v>
      </c>
    </row>
    <row r="18" spans="1:27" x14ac:dyDescent="0.3">
      <c r="A18" s="8">
        <v>1997</v>
      </c>
      <c r="B18" s="11">
        <v>468839.87507183198</v>
      </c>
      <c r="C18" s="9">
        <v>0</v>
      </c>
      <c r="D18" s="9">
        <v>7.3133901157133003</v>
      </c>
      <c r="E18" s="9">
        <v>5.8990861819519504E-6</v>
      </c>
      <c r="F18" s="9">
        <v>7841.8128636363299</v>
      </c>
      <c r="G18" s="9">
        <v>52613.709845338097</v>
      </c>
      <c r="H18" s="9">
        <v>826.31961165183804</v>
      </c>
      <c r="I18" s="9">
        <v>480562.95983720198</v>
      </c>
      <c r="J18" s="9">
        <v>37130.534734061002</v>
      </c>
      <c r="K18" s="9">
        <v>0</v>
      </c>
      <c r="L18" s="9">
        <v>16.317003262034401</v>
      </c>
      <c r="M18" s="9">
        <v>3872.1982859986401</v>
      </c>
      <c r="N18" s="9">
        <v>155113.59001925</v>
      </c>
      <c r="O18" s="9">
        <v>13.663694149879801</v>
      </c>
      <c r="P18" s="9">
        <v>0</v>
      </c>
      <c r="Q18" s="9">
        <v>57.184867802670396</v>
      </c>
      <c r="R18" s="9">
        <v>1001.02762743216</v>
      </c>
      <c r="S18" s="9">
        <v>0</v>
      </c>
      <c r="T18" s="9">
        <v>0</v>
      </c>
      <c r="U18" s="9">
        <v>7.9596485073891403E-15</v>
      </c>
      <c r="V18" s="9">
        <v>0</v>
      </c>
      <c r="W18" s="9">
        <v>739056.6317857994</v>
      </c>
      <c r="Y18">
        <v>1999</v>
      </c>
      <c r="Z18" s="1">
        <f t="shared" si="1"/>
        <v>424534.45734489697</v>
      </c>
      <c r="AA18" s="1">
        <f t="shared" si="0"/>
        <v>2089710.3635145407</v>
      </c>
    </row>
    <row r="19" spans="1:27" x14ac:dyDescent="0.3">
      <c r="A19" s="8">
        <v>1998</v>
      </c>
      <c r="B19" s="11">
        <v>482890.351816501</v>
      </c>
      <c r="C19" s="9">
        <v>0</v>
      </c>
      <c r="D19" s="9">
        <v>182.00936795518601</v>
      </c>
      <c r="E19" s="9">
        <v>916.43022728542098</v>
      </c>
      <c r="F19" s="9">
        <v>2876.67043496319</v>
      </c>
      <c r="G19" s="9">
        <v>202126.66804210201</v>
      </c>
      <c r="H19" s="9">
        <v>9.7386359331621908E-6</v>
      </c>
      <c r="I19" s="9">
        <v>627410.69250440097</v>
      </c>
      <c r="J19" s="9">
        <v>41574.124070487298</v>
      </c>
      <c r="K19" s="9">
        <v>0</v>
      </c>
      <c r="L19" s="9">
        <v>0</v>
      </c>
      <c r="M19" s="9">
        <v>3096.25240014765</v>
      </c>
      <c r="N19" s="9">
        <v>123597.942035277</v>
      </c>
      <c r="O19" s="9">
        <v>1381.7697385574199</v>
      </c>
      <c r="P19" s="9">
        <v>0</v>
      </c>
      <c r="Q19" s="9">
        <v>9.5321309841903603E-5</v>
      </c>
      <c r="R19" s="9">
        <v>1.90605067810784E-4</v>
      </c>
      <c r="S19" s="9">
        <v>0</v>
      </c>
      <c r="T19" s="9">
        <v>0</v>
      </c>
      <c r="U19" s="9">
        <v>0</v>
      </c>
      <c r="V19" s="9">
        <v>0</v>
      </c>
      <c r="W19" s="9">
        <v>1003162.5591168412</v>
      </c>
      <c r="Y19">
        <v>2000</v>
      </c>
      <c r="Z19" s="1">
        <f t="shared" si="1"/>
        <v>366081.55923102098</v>
      </c>
      <c r="AA19" s="1">
        <f t="shared" si="0"/>
        <v>1475272.4057178055</v>
      </c>
    </row>
    <row r="20" spans="1:27" x14ac:dyDescent="0.3">
      <c r="A20" s="8">
        <v>1999</v>
      </c>
      <c r="B20" s="11">
        <v>424534.45734489697</v>
      </c>
      <c r="C20" s="9">
        <v>0</v>
      </c>
      <c r="D20" s="9">
        <v>1993.9375409076199</v>
      </c>
      <c r="E20" s="9">
        <v>55.704041113906896</v>
      </c>
      <c r="F20" s="9">
        <v>19040.5560266803</v>
      </c>
      <c r="G20" s="9">
        <v>98261.449060478102</v>
      </c>
      <c r="H20" s="9">
        <v>334.28985036909302</v>
      </c>
      <c r="I20" s="9">
        <v>562014.79796541505</v>
      </c>
      <c r="J20" s="9">
        <v>78024.4243728734</v>
      </c>
      <c r="K20" s="9">
        <v>0</v>
      </c>
      <c r="L20" s="9">
        <v>0</v>
      </c>
      <c r="M20" s="9">
        <v>778.52259613611602</v>
      </c>
      <c r="N20" s="9">
        <v>163607.286322156</v>
      </c>
      <c r="O20" s="9">
        <v>3.9850505927773602E-15</v>
      </c>
      <c r="P20" s="9">
        <v>0</v>
      </c>
      <c r="Q20" s="9">
        <v>1468.56237707284</v>
      </c>
      <c r="R20" s="9">
        <v>891.06268761410604</v>
      </c>
      <c r="S20" s="9">
        <v>0</v>
      </c>
      <c r="T20" s="9">
        <v>0</v>
      </c>
      <c r="U20" s="9">
        <v>0</v>
      </c>
      <c r="V20" s="9">
        <v>0</v>
      </c>
      <c r="W20" s="9">
        <v>926470.59284081648</v>
      </c>
      <c r="Y20">
        <v>2001</v>
      </c>
      <c r="Z20" s="1">
        <f t="shared" si="1"/>
        <v>835060.02804192796</v>
      </c>
      <c r="AA20" s="1">
        <f t="shared" si="0"/>
        <v>1363471.9791424954</v>
      </c>
    </row>
    <row r="21" spans="1:27" x14ac:dyDescent="0.3">
      <c r="A21" s="8">
        <v>2000</v>
      </c>
      <c r="B21" s="11">
        <v>366081.55923102098</v>
      </c>
      <c r="C21" s="9">
        <v>0</v>
      </c>
      <c r="D21" s="9">
        <v>1529.5856542223501</v>
      </c>
      <c r="E21" s="9">
        <v>18.0259692630509</v>
      </c>
      <c r="F21" s="9">
        <v>14221.753174969101</v>
      </c>
      <c r="G21" s="9">
        <v>243297.550631194</v>
      </c>
      <c r="H21" s="9">
        <v>719.66825999605896</v>
      </c>
      <c r="I21" s="9">
        <v>972742.015759498</v>
      </c>
      <c r="J21" s="9">
        <v>42598.7156856043</v>
      </c>
      <c r="K21" s="9">
        <v>0</v>
      </c>
      <c r="L21" s="9">
        <v>0</v>
      </c>
      <c r="M21" s="9">
        <v>10558.9545010901</v>
      </c>
      <c r="N21" s="9">
        <v>216493.37293899301</v>
      </c>
      <c r="O21" s="9">
        <v>0</v>
      </c>
      <c r="P21" s="9">
        <v>0</v>
      </c>
      <c r="Q21" s="9">
        <v>5827.4546796438799</v>
      </c>
      <c r="R21" s="9">
        <v>2782.5182531580499</v>
      </c>
      <c r="S21" s="9">
        <v>0</v>
      </c>
      <c r="T21" s="9">
        <v>0</v>
      </c>
      <c r="U21" s="9">
        <v>0</v>
      </c>
      <c r="V21" s="9">
        <v>0</v>
      </c>
      <c r="W21" s="9">
        <v>1510789.615507632</v>
      </c>
      <c r="Y21">
        <v>2002</v>
      </c>
      <c r="Z21" s="1">
        <f t="shared" si="1"/>
        <v>393196.05315856403</v>
      </c>
      <c r="AA21" s="1">
        <f t="shared" si="0"/>
        <v>997996.97856463597</v>
      </c>
    </row>
    <row r="22" spans="1:27" x14ac:dyDescent="0.3">
      <c r="A22" s="8">
        <v>2001</v>
      </c>
      <c r="B22" s="11">
        <v>835060.02804192796</v>
      </c>
      <c r="C22" s="9">
        <v>0</v>
      </c>
      <c r="D22" s="9">
        <v>2713.1777288180901</v>
      </c>
      <c r="E22" s="9">
        <v>6.7503944475291204</v>
      </c>
      <c r="F22" s="9">
        <v>51309.466358921098</v>
      </c>
      <c r="G22" s="9">
        <v>68774.538444439895</v>
      </c>
      <c r="H22" s="9">
        <v>9.5321508499367997E-5</v>
      </c>
      <c r="I22" s="9">
        <v>594873.51627818297</v>
      </c>
      <c r="J22" s="9">
        <v>18997.310950197301</v>
      </c>
      <c r="K22" s="9">
        <v>0</v>
      </c>
      <c r="L22" s="9">
        <v>1116.87232707822</v>
      </c>
      <c r="M22" s="9">
        <v>13130.1212152968</v>
      </c>
      <c r="N22" s="9">
        <v>221081.656043077</v>
      </c>
      <c r="O22" s="9">
        <v>145.888738677243</v>
      </c>
      <c r="P22" s="9">
        <v>0</v>
      </c>
      <c r="Q22" s="9">
        <v>3566.8854244069798</v>
      </c>
      <c r="R22" s="9">
        <v>133.974260198195</v>
      </c>
      <c r="S22" s="9">
        <v>0</v>
      </c>
      <c r="T22" s="9">
        <v>0</v>
      </c>
      <c r="U22" s="9">
        <v>0</v>
      </c>
      <c r="V22" s="9">
        <v>0</v>
      </c>
      <c r="W22" s="9">
        <v>975850.15825906279</v>
      </c>
      <c r="Y22">
        <v>2003</v>
      </c>
      <c r="Z22" s="1">
        <f t="shared" si="1"/>
        <v>365050.37906165799</v>
      </c>
      <c r="AA22" s="1">
        <f t="shared" si="0"/>
        <v>948973.50995778316</v>
      </c>
    </row>
    <row r="23" spans="1:27" x14ac:dyDescent="0.3">
      <c r="A23" s="8">
        <v>2002</v>
      </c>
      <c r="B23" s="11">
        <v>393196.05315856403</v>
      </c>
      <c r="C23" s="9">
        <v>0</v>
      </c>
      <c r="D23" s="9">
        <v>0</v>
      </c>
      <c r="E23" s="9">
        <v>1.72949608693256E-7</v>
      </c>
      <c r="F23" s="9">
        <v>8654.5518359620291</v>
      </c>
      <c r="G23" s="9">
        <v>39895.085137403199</v>
      </c>
      <c r="H23" s="9">
        <v>0</v>
      </c>
      <c r="I23" s="9">
        <v>258917.525238995</v>
      </c>
      <c r="J23" s="9">
        <v>7569.39907771052</v>
      </c>
      <c r="K23" s="9">
        <v>0</v>
      </c>
      <c r="L23" s="9">
        <v>528.82118141599005</v>
      </c>
      <c r="M23" s="9">
        <v>3944.82767061296</v>
      </c>
      <c r="N23" s="9">
        <v>71537.525662731496</v>
      </c>
      <c r="O23" s="9">
        <v>1.5335983457382999E-3</v>
      </c>
      <c r="P23" s="9">
        <v>0</v>
      </c>
      <c r="Q23" s="9">
        <v>8.90388840340018E-3</v>
      </c>
      <c r="R23" s="9">
        <v>0.12209911038192101</v>
      </c>
      <c r="S23" s="9">
        <v>0</v>
      </c>
      <c r="T23" s="9">
        <v>0</v>
      </c>
      <c r="U23" s="9">
        <v>0</v>
      </c>
      <c r="V23" s="9">
        <v>0</v>
      </c>
      <c r="W23" s="9">
        <v>391047.86834160128</v>
      </c>
      <c r="Y23">
        <v>2004</v>
      </c>
      <c r="Z23" s="1">
        <f t="shared" si="1"/>
        <v>362033.276835175</v>
      </c>
      <c r="AA23" s="1">
        <f t="shared" si="0"/>
        <v>1030132.29919693</v>
      </c>
    </row>
    <row r="24" spans="1:27" x14ac:dyDescent="0.3">
      <c r="A24" s="8">
        <v>2003</v>
      </c>
      <c r="B24" s="11">
        <v>365050.37906165799</v>
      </c>
      <c r="C24" s="9">
        <v>0</v>
      </c>
      <c r="D24" s="9">
        <v>1703.5348519378699</v>
      </c>
      <c r="E24" s="9">
        <v>3.5663325307291598</v>
      </c>
      <c r="F24" s="9">
        <v>72595.664365293895</v>
      </c>
      <c r="G24" s="9">
        <v>56107.694863668898</v>
      </c>
      <c r="H24" s="9">
        <v>2.2216550511455099E-8</v>
      </c>
      <c r="I24" s="9">
        <v>493453.63362616202</v>
      </c>
      <c r="J24" s="9">
        <v>19327.161068134301</v>
      </c>
      <c r="K24" s="9">
        <v>0</v>
      </c>
      <c r="L24" s="9">
        <v>886.89403743040305</v>
      </c>
      <c r="M24" s="9">
        <v>3100.6066672450202</v>
      </c>
      <c r="N24" s="9">
        <v>69162.812178187</v>
      </c>
      <c r="O24" s="9">
        <v>86.361138328735706</v>
      </c>
      <c r="P24" s="9">
        <v>0</v>
      </c>
      <c r="Q24" s="9">
        <v>58.536340560140502</v>
      </c>
      <c r="R24" s="9">
        <v>140.61662833125101</v>
      </c>
      <c r="S24" s="9">
        <v>0</v>
      </c>
      <c r="T24" s="9">
        <v>0</v>
      </c>
      <c r="U24" s="9">
        <v>0</v>
      </c>
      <c r="V24" s="9">
        <v>0</v>
      </c>
      <c r="W24" s="9">
        <v>716627.08209783258</v>
      </c>
      <c r="Y24">
        <v>2005</v>
      </c>
      <c r="Z24" s="1">
        <f t="shared" si="1"/>
        <v>335060.91297314799</v>
      </c>
      <c r="AA24" s="1">
        <f t="shared" si="0"/>
        <v>1299810.5455481764</v>
      </c>
    </row>
    <row r="25" spans="1:27" x14ac:dyDescent="0.3">
      <c r="A25" s="8">
        <v>2004</v>
      </c>
      <c r="B25" s="11">
        <v>362033.276835175</v>
      </c>
      <c r="C25" s="9">
        <v>0</v>
      </c>
      <c r="D25" s="9">
        <v>7092.2612027447803</v>
      </c>
      <c r="E25" s="9">
        <v>133.17656223083199</v>
      </c>
      <c r="F25" s="9">
        <v>123625.534840415</v>
      </c>
      <c r="G25" s="9">
        <v>45877.877442382</v>
      </c>
      <c r="H25" s="9">
        <v>1.5962691134432799E-3</v>
      </c>
      <c r="I25" s="9">
        <v>732678.62143308402</v>
      </c>
      <c r="J25" s="9">
        <v>36011.974207475301</v>
      </c>
      <c r="K25" s="9">
        <v>0</v>
      </c>
      <c r="L25" s="9">
        <v>869.29412552214501</v>
      </c>
      <c r="M25" s="9">
        <v>2129.6951957947599</v>
      </c>
      <c r="N25" s="9">
        <v>140463.735941605</v>
      </c>
      <c r="O25" s="9">
        <v>0</v>
      </c>
      <c r="P25" s="9">
        <v>0</v>
      </c>
      <c r="Q25" s="9">
        <v>2425.94674129646</v>
      </c>
      <c r="R25" s="9">
        <v>389.38500548244701</v>
      </c>
      <c r="S25" s="9">
        <v>0</v>
      </c>
      <c r="T25" s="9">
        <v>0</v>
      </c>
      <c r="U25" s="9">
        <v>0</v>
      </c>
      <c r="V25" s="9">
        <v>0</v>
      </c>
      <c r="W25" s="9">
        <v>1091697.5042943018</v>
      </c>
      <c r="Y25">
        <v>2006</v>
      </c>
      <c r="Z25" s="1">
        <f t="shared" si="1"/>
        <v>411786.12233436399</v>
      </c>
      <c r="AA25" s="1">
        <f t="shared" si="0"/>
        <v>894656.39021806244</v>
      </c>
    </row>
    <row r="26" spans="1:27" x14ac:dyDescent="0.3">
      <c r="A26" s="8">
        <v>2005</v>
      </c>
      <c r="B26" s="11">
        <v>335060.91297314799</v>
      </c>
      <c r="C26" s="9">
        <v>0</v>
      </c>
      <c r="D26" s="9">
        <v>386.445406950586</v>
      </c>
      <c r="E26" s="9">
        <v>128.481826516111</v>
      </c>
      <c r="F26" s="9">
        <v>25393.1614726142</v>
      </c>
      <c r="G26" s="9">
        <v>128093.07074809101</v>
      </c>
      <c r="H26" s="9">
        <v>356.54265696406202</v>
      </c>
      <c r="I26" s="9">
        <v>882076.75701873098</v>
      </c>
      <c r="J26" s="9">
        <v>12944.8998733964</v>
      </c>
      <c r="K26" s="9">
        <v>0</v>
      </c>
      <c r="L26" s="9">
        <v>0</v>
      </c>
      <c r="M26" s="9">
        <v>2664.2699062132901</v>
      </c>
      <c r="N26" s="9">
        <v>478929.512778492</v>
      </c>
      <c r="O26" s="9">
        <v>6423.9479824559603</v>
      </c>
      <c r="P26" s="9">
        <v>0</v>
      </c>
      <c r="Q26" s="9">
        <v>358.05390830609599</v>
      </c>
      <c r="R26" s="9">
        <v>25975.3264649214</v>
      </c>
      <c r="S26" s="9">
        <v>0</v>
      </c>
      <c r="T26" s="9">
        <v>0</v>
      </c>
      <c r="U26" s="9">
        <v>539.41323064668097</v>
      </c>
      <c r="V26" s="9">
        <v>0</v>
      </c>
      <c r="W26" s="9">
        <v>1564269.8832742989</v>
      </c>
      <c r="Y26">
        <v>2007</v>
      </c>
      <c r="Z26" s="1">
        <f t="shared" si="1"/>
        <v>389780.93426258402</v>
      </c>
      <c r="AA26" s="1">
        <f t="shared" si="0"/>
        <v>645912.18142193509</v>
      </c>
    </row>
    <row r="27" spans="1:27" x14ac:dyDescent="0.3">
      <c r="A27" s="8">
        <v>2006</v>
      </c>
      <c r="B27" s="11">
        <v>411786.12233436399</v>
      </c>
      <c r="C27" s="9">
        <v>0</v>
      </c>
      <c r="D27" s="9">
        <v>1192.2619089058801</v>
      </c>
      <c r="E27" s="9">
        <v>1124.5820649636801</v>
      </c>
      <c r="F27" s="9">
        <v>14468.064370235399</v>
      </c>
      <c r="G27" s="9">
        <v>205239.292885918</v>
      </c>
      <c r="H27" s="9">
        <v>764.43855796907098</v>
      </c>
      <c r="I27" s="9">
        <v>2184029.9186337502</v>
      </c>
      <c r="J27" s="9">
        <v>114346.53420299399</v>
      </c>
      <c r="K27" s="9">
        <v>1.6074729676303699E-5</v>
      </c>
      <c r="L27" s="9">
        <v>0</v>
      </c>
      <c r="M27" s="9">
        <v>34706.400998442397</v>
      </c>
      <c r="N27" s="9">
        <v>587270.95713824604</v>
      </c>
      <c r="O27" s="9">
        <v>2.2754721731467899E-2</v>
      </c>
      <c r="P27" s="9">
        <v>0</v>
      </c>
      <c r="Q27" s="9">
        <v>4417.2355825975601</v>
      </c>
      <c r="R27" s="9">
        <v>8663.1564932307301</v>
      </c>
      <c r="S27" s="9">
        <v>0</v>
      </c>
      <c r="T27" s="9">
        <v>0</v>
      </c>
      <c r="U27" s="9">
        <v>0</v>
      </c>
      <c r="V27" s="9">
        <v>0</v>
      </c>
      <c r="W27" s="9">
        <v>3156222.8656080491</v>
      </c>
      <c r="Y27">
        <v>2008</v>
      </c>
      <c r="Z27" s="1">
        <f t="shared" si="1"/>
        <v>440697.10149999999</v>
      </c>
      <c r="AA27" s="1">
        <f t="shared" si="0"/>
        <v>762869.2443958075</v>
      </c>
    </row>
    <row r="28" spans="1:27" x14ac:dyDescent="0.3">
      <c r="A28" s="8">
        <v>2007</v>
      </c>
      <c r="B28" s="11">
        <v>389780.93426258402</v>
      </c>
      <c r="C28" s="9">
        <v>0</v>
      </c>
      <c r="D28" s="9">
        <v>2155.0168879366802</v>
      </c>
      <c r="E28" s="9">
        <v>251.241387145251</v>
      </c>
      <c r="F28" s="9">
        <v>14512.6684399198</v>
      </c>
      <c r="G28" s="9">
        <v>38654.4672013245</v>
      </c>
      <c r="H28" s="9">
        <v>976.25412319038003</v>
      </c>
      <c r="I28" s="9">
        <v>313683.57557450701</v>
      </c>
      <c r="J28" s="9">
        <v>71378.503924130404</v>
      </c>
      <c r="K28" s="9">
        <v>0</v>
      </c>
      <c r="L28" s="9">
        <v>1066.7968599662599</v>
      </c>
      <c r="M28" s="9">
        <v>1198.0963351029</v>
      </c>
      <c r="N28" s="9">
        <v>410848.19120398199</v>
      </c>
      <c r="O28" s="9">
        <v>0</v>
      </c>
      <c r="P28" s="9">
        <v>0</v>
      </c>
      <c r="Q28" s="9">
        <v>991.60411607148296</v>
      </c>
      <c r="R28" s="9">
        <v>180.99077468001201</v>
      </c>
      <c r="S28" s="9">
        <v>0</v>
      </c>
      <c r="T28" s="9">
        <v>0</v>
      </c>
      <c r="U28" s="9">
        <v>0</v>
      </c>
      <c r="V28" s="9">
        <v>0</v>
      </c>
      <c r="W28" s="9">
        <v>855897.40682795679</v>
      </c>
      <c r="Y28">
        <v>2009</v>
      </c>
      <c r="Z28" s="1">
        <f t="shared" si="1"/>
        <v>446382.57279609598</v>
      </c>
      <c r="AA28" s="1">
        <f t="shared" si="0"/>
        <v>998069.41960437992</v>
      </c>
    </row>
    <row r="29" spans="1:27" x14ac:dyDescent="0.3">
      <c r="A29" s="8">
        <v>2008</v>
      </c>
      <c r="B29" s="11">
        <v>440697.10149999999</v>
      </c>
      <c r="C29" s="9">
        <v>0</v>
      </c>
      <c r="D29" s="9">
        <v>354.25581204895002</v>
      </c>
      <c r="E29" s="9">
        <v>30.489801618036701</v>
      </c>
      <c r="F29" s="9">
        <v>10332.350594474499</v>
      </c>
      <c r="G29" s="9">
        <v>423186.63792256801</v>
      </c>
      <c r="H29" s="9">
        <v>0.53974787202495</v>
      </c>
      <c r="I29" s="9">
        <v>1840838.9305682201</v>
      </c>
      <c r="J29" s="9">
        <v>3870.7080338707701</v>
      </c>
      <c r="K29" s="9">
        <v>0</v>
      </c>
      <c r="L29" s="9">
        <v>0</v>
      </c>
      <c r="M29" s="9">
        <v>4822.1795833185297</v>
      </c>
      <c r="N29" s="9">
        <v>62679.817652653997</v>
      </c>
      <c r="O29" s="9">
        <v>0</v>
      </c>
      <c r="P29" s="9">
        <v>0</v>
      </c>
      <c r="Q29" s="9">
        <v>0</v>
      </c>
      <c r="R29" s="9">
        <v>1196.4661460601201</v>
      </c>
      <c r="S29" s="9">
        <v>0</v>
      </c>
      <c r="T29" s="9">
        <v>0</v>
      </c>
      <c r="U29" s="9">
        <v>0</v>
      </c>
      <c r="V29" s="9">
        <v>0</v>
      </c>
      <c r="W29" s="9">
        <v>2347312.3758627051</v>
      </c>
      <c r="Y29">
        <v>2010</v>
      </c>
      <c r="Z29" s="1">
        <f t="shared" si="1"/>
        <v>450517.62623932603</v>
      </c>
      <c r="AA29" s="1">
        <f t="shared" si="0"/>
        <v>1260692.2950876229</v>
      </c>
    </row>
    <row r="30" spans="1:27" x14ac:dyDescent="0.3">
      <c r="A30" s="8">
        <v>2009</v>
      </c>
      <c r="B30" s="11">
        <v>446382.57279609598</v>
      </c>
      <c r="C30" s="9">
        <v>0</v>
      </c>
      <c r="D30" s="9">
        <v>0</v>
      </c>
      <c r="E30" s="9">
        <v>237.85452106484701</v>
      </c>
      <c r="F30" s="9">
        <v>3599.0949245043398</v>
      </c>
      <c r="G30" s="9">
        <v>45188.392786425902</v>
      </c>
      <c r="H30" s="9">
        <v>68.737557376730507</v>
      </c>
      <c r="I30" s="9">
        <v>95228.469529297799</v>
      </c>
      <c r="J30" s="9">
        <v>38498.264315169399</v>
      </c>
      <c r="K30" s="9">
        <v>0</v>
      </c>
      <c r="L30" s="9">
        <v>544.22247544383004</v>
      </c>
      <c r="M30" s="9">
        <v>333.21125723307398</v>
      </c>
      <c r="N30" s="9">
        <v>104941.31189235899</v>
      </c>
      <c r="O30" s="9">
        <v>1546.1081867236301</v>
      </c>
      <c r="P30" s="9">
        <v>0</v>
      </c>
      <c r="Q30" s="9">
        <v>3.6187629871646401</v>
      </c>
      <c r="R30" s="9">
        <v>3534.60709188275</v>
      </c>
      <c r="S30" s="9">
        <v>0</v>
      </c>
      <c r="T30" s="9">
        <v>0</v>
      </c>
      <c r="U30" s="9">
        <v>1194.86982473441</v>
      </c>
      <c r="V30" s="9">
        <v>0</v>
      </c>
      <c r="W30" s="9">
        <v>294918.76312520279</v>
      </c>
      <c r="Y30">
        <v>2011</v>
      </c>
      <c r="Z30" s="1">
        <f t="shared" si="1"/>
        <v>492557.05721592403</v>
      </c>
      <c r="AA30" s="1">
        <f t="shared" si="0"/>
        <v>2843737.6506448612</v>
      </c>
    </row>
    <row r="31" spans="1:27" x14ac:dyDescent="0.3">
      <c r="A31" s="8">
        <v>2010</v>
      </c>
      <c r="B31" s="11">
        <v>450517.62623932603</v>
      </c>
      <c r="C31" s="9">
        <v>0</v>
      </c>
      <c r="D31" s="9">
        <v>0</v>
      </c>
      <c r="E31" s="9">
        <v>1143.0314999974801</v>
      </c>
      <c r="F31" s="9">
        <v>5.71874816135199E-2</v>
      </c>
      <c r="G31" s="9">
        <v>171035.00130762</v>
      </c>
      <c r="H31" s="9">
        <v>877.07800211983795</v>
      </c>
      <c r="I31" s="9">
        <v>352782.05326454202</v>
      </c>
      <c r="J31" s="9">
        <v>70841.210026963599</v>
      </c>
      <c r="K31" s="9">
        <v>0</v>
      </c>
      <c r="L31" s="9">
        <v>0</v>
      </c>
      <c r="M31" s="9">
        <v>857.93719731053704</v>
      </c>
      <c r="N31" s="9">
        <v>312747.06339225499</v>
      </c>
      <c r="O31" s="9">
        <v>857.93719739418896</v>
      </c>
      <c r="P31" s="9">
        <v>0</v>
      </c>
      <c r="Q31" s="9">
        <v>2394.4434283843798</v>
      </c>
      <c r="R31" s="9">
        <v>4506.32984282281</v>
      </c>
      <c r="S31" s="9">
        <v>0</v>
      </c>
      <c r="T31" s="9">
        <v>0</v>
      </c>
      <c r="U31" s="9">
        <v>0</v>
      </c>
      <c r="V31" s="9">
        <v>0</v>
      </c>
      <c r="W31" s="9">
        <v>918042.14234689146</v>
      </c>
      <c r="Y31">
        <v>2012</v>
      </c>
      <c r="Z31" s="1">
        <f t="shared" si="1"/>
        <v>360709.20000334497</v>
      </c>
      <c r="AA31" s="1">
        <f t="shared" si="0"/>
        <v>1468197.0204092211</v>
      </c>
    </row>
    <row r="32" spans="1:27" x14ac:dyDescent="0.3">
      <c r="A32" s="8">
        <v>2011</v>
      </c>
      <c r="B32" s="11">
        <v>492557.05721592403</v>
      </c>
      <c r="C32" s="9">
        <v>0</v>
      </c>
      <c r="D32" s="9">
        <v>0</v>
      </c>
      <c r="E32" s="9">
        <v>2824.1656124249498</v>
      </c>
      <c r="F32" s="9">
        <v>537.28853928105104</v>
      </c>
      <c r="G32" s="9">
        <v>200128.0732102</v>
      </c>
      <c r="H32" s="9">
        <v>791.93917440409996</v>
      </c>
      <c r="I32" s="9">
        <v>776097.52004925499</v>
      </c>
      <c r="J32" s="9">
        <v>68683.049078339798</v>
      </c>
      <c r="K32" s="9">
        <v>0</v>
      </c>
      <c r="L32" s="9">
        <v>0</v>
      </c>
      <c r="M32" s="9">
        <v>6655.5259809895497</v>
      </c>
      <c r="N32" s="9">
        <v>323775.43971620401</v>
      </c>
      <c r="O32" s="9">
        <v>73.230634620791903</v>
      </c>
      <c r="P32" s="9">
        <v>0</v>
      </c>
      <c r="Q32" s="9">
        <v>1511.4474593247601</v>
      </c>
      <c r="R32" s="9">
        <v>292.08338140471898</v>
      </c>
      <c r="S32" s="9">
        <v>0</v>
      </c>
      <c r="T32" s="9">
        <v>0</v>
      </c>
      <c r="U32" s="9">
        <v>0</v>
      </c>
      <c r="V32" s="9">
        <v>0</v>
      </c>
      <c r="W32" s="9">
        <v>1381369.7628364486</v>
      </c>
      <c r="Y32">
        <v>2013</v>
      </c>
      <c r="Z32" s="1">
        <f t="shared" si="1"/>
        <v>404752.85158299399</v>
      </c>
      <c r="AA32" s="1">
        <f t="shared" si="0"/>
        <v>2320374.988215955</v>
      </c>
    </row>
    <row r="33" spans="1:27" x14ac:dyDescent="0.3">
      <c r="A33" s="8">
        <v>2012</v>
      </c>
      <c r="B33" s="11">
        <v>360709.20000334497</v>
      </c>
      <c r="C33" s="9">
        <v>0</v>
      </c>
      <c r="D33" s="9">
        <v>0</v>
      </c>
      <c r="E33" s="9">
        <v>1699.32381441435</v>
      </c>
      <c r="F33" s="9">
        <v>386.09044754774197</v>
      </c>
      <c r="G33" s="9">
        <v>107711.77119995101</v>
      </c>
      <c r="H33" s="9">
        <v>429.848101841122</v>
      </c>
      <c r="I33" s="9">
        <v>569060.91627764702</v>
      </c>
      <c r="J33" s="9">
        <v>25296.666324894501</v>
      </c>
      <c r="K33" s="9">
        <v>0</v>
      </c>
      <c r="L33" s="9">
        <v>0</v>
      </c>
      <c r="M33" s="9">
        <v>3057.1975161177402</v>
      </c>
      <c r="N33" s="9">
        <v>18656.5922311912</v>
      </c>
      <c r="O33" s="9">
        <v>0.25138919811758498</v>
      </c>
      <c r="P33" s="9">
        <v>0</v>
      </c>
      <c r="Q33" s="9">
        <v>864.11755473369794</v>
      </c>
      <c r="R33" s="9">
        <v>435.30870095950598</v>
      </c>
      <c r="S33" s="9">
        <v>0</v>
      </c>
      <c r="T33" s="9">
        <v>0</v>
      </c>
      <c r="U33" s="9">
        <v>0</v>
      </c>
      <c r="V33" s="9">
        <v>0</v>
      </c>
      <c r="W33" s="9">
        <v>727598.08355849609</v>
      </c>
      <c r="Y33">
        <v>2014</v>
      </c>
      <c r="Z33" s="1">
        <f t="shared" si="1"/>
        <v>353797.567217562</v>
      </c>
      <c r="AA33" s="1">
        <f t="shared" si="0"/>
        <v>377681.85055628151</v>
      </c>
    </row>
    <row r="34" spans="1:27" x14ac:dyDescent="0.3">
      <c r="A34" s="8">
        <v>2013</v>
      </c>
      <c r="B34" s="11">
        <v>404752.85158299399</v>
      </c>
      <c r="C34" s="9">
        <v>0</v>
      </c>
      <c r="D34" s="9">
        <v>0.33903971785576698</v>
      </c>
      <c r="E34" s="9">
        <v>491.05714818321502</v>
      </c>
      <c r="F34" s="9">
        <v>40025.029373430501</v>
      </c>
      <c r="G34" s="9">
        <v>37551.846793516299</v>
      </c>
      <c r="H34" s="9">
        <v>52.819919683154097</v>
      </c>
      <c r="I34" s="9">
        <v>57462.441257692299</v>
      </c>
      <c r="J34" s="9">
        <v>22329.5072396102</v>
      </c>
      <c r="K34" s="9">
        <v>0</v>
      </c>
      <c r="L34" s="9">
        <v>296.49494525086101</v>
      </c>
      <c r="M34" s="9">
        <v>1097.0335731181799</v>
      </c>
      <c r="N34" s="9">
        <v>102154.981803959</v>
      </c>
      <c r="O34" s="9">
        <v>0</v>
      </c>
      <c r="P34" s="9">
        <v>0</v>
      </c>
      <c r="Q34" s="9">
        <v>369.563148020656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261831.1142421822</v>
      </c>
      <c r="Y34">
        <v>2015</v>
      </c>
      <c r="Z34" s="1">
        <f t="shared" si="1"/>
        <v>421848.15581495198</v>
      </c>
      <c r="AA34" s="1">
        <f t="shared" si="0"/>
        <v>734796.98551218107</v>
      </c>
    </row>
    <row r="35" spans="1:27" x14ac:dyDescent="0.3">
      <c r="A35" s="8">
        <v>2014</v>
      </c>
      <c r="B35" s="11">
        <v>353797.567217562</v>
      </c>
      <c r="C35" s="9">
        <v>0</v>
      </c>
      <c r="D35" s="9">
        <v>3832.336463224</v>
      </c>
      <c r="E35" s="9">
        <v>553.35764140726405</v>
      </c>
      <c r="F35" s="9">
        <v>10722.1462745851</v>
      </c>
      <c r="G35" s="9">
        <v>50420.019104505001</v>
      </c>
      <c r="H35" s="9">
        <v>4.9723627588446496E-3</v>
      </c>
      <c r="I35" s="9">
        <v>123218.626577088</v>
      </c>
      <c r="J35" s="9">
        <v>11074.7536373771</v>
      </c>
      <c r="K35" s="9">
        <v>0</v>
      </c>
      <c r="L35" s="9">
        <v>728.62159030970395</v>
      </c>
      <c r="M35" s="9">
        <v>1322.4060590403701</v>
      </c>
      <c r="N35" s="9">
        <v>30904.482526101499</v>
      </c>
      <c r="O35" s="9">
        <v>153.07182920475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232929.82667520555</v>
      </c>
      <c r="Y35">
        <v>2016</v>
      </c>
      <c r="Z35" s="1">
        <f t="shared" si="1"/>
        <v>416711.24251143599</v>
      </c>
      <c r="AA35" s="1">
        <f t="shared" si="0"/>
        <v>1271800.8387066654</v>
      </c>
    </row>
    <row r="36" spans="1:27" x14ac:dyDescent="0.3">
      <c r="A36" s="8">
        <v>2015</v>
      </c>
      <c r="B36" s="11">
        <v>421848.15581495198</v>
      </c>
      <c r="C36" s="9">
        <v>0</v>
      </c>
      <c r="D36" s="9">
        <v>17910.5332367993</v>
      </c>
      <c r="E36" s="9">
        <v>342.23844387195902</v>
      </c>
      <c r="F36" s="9">
        <v>131266.79106897599</v>
      </c>
      <c r="G36" s="9">
        <v>44160.144162507997</v>
      </c>
      <c r="H36" s="9">
        <v>183.287172880968</v>
      </c>
      <c r="I36" s="9">
        <v>89129.3919306928</v>
      </c>
      <c r="J36" s="9">
        <v>29673.292394129501</v>
      </c>
      <c r="K36" s="9">
        <v>0</v>
      </c>
      <c r="L36" s="9">
        <v>360.97474820436997</v>
      </c>
      <c r="M36" s="9">
        <v>244.71289914846099</v>
      </c>
      <c r="N36" s="9">
        <v>60187.002486394202</v>
      </c>
      <c r="O36" s="9">
        <v>0.48659531083223201</v>
      </c>
      <c r="P36" s="9">
        <v>0</v>
      </c>
      <c r="Q36" s="9">
        <v>381.45597280166697</v>
      </c>
      <c r="R36" s="9">
        <v>128.34628602704299</v>
      </c>
      <c r="S36" s="9">
        <v>0</v>
      </c>
      <c r="T36" s="9">
        <v>0</v>
      </c>
      <c r="U36" s="9">
        <v>0</v>
      </c>
      <c r="V36" s="9">
        <v>0</v>
      </c>
      <c r="W36" s="9">
        <v>373968.65739774506</v>
      </c>
      <c r="Y36">
        <v>2017</v>
      </c>
      <c r="Z36" s="1">
        <f t="shared" si="1"/>
        <v>420497.282866775</v>
      </c>
      <c r="AA36" s="1">
        <f t="shared" si="0"/>
        <v>1014972.8122215588</v>
      </c>
    </row>
    <row r="37" spans="1:27" x14ac:dyDescent="0.3">
      <c r="A37" s="8">
        <v>2016</v>
      </c>
      <c r="B37" s="11">
        <v>416711.24251143599</v>
      </c>
      <c r="C37" s="9">
        <v>0</v>
      </c>
      <c r="D37" s="9">
        <v>1529.66272649233</v>
      </c>
      <c r="E37" s="9">
        <v>1098.5221069517199</v>
      </c>
      <c r="F37" s="9">
        <v>557.92635380494505</v>
      </c>
      <c r="G37" s="9">
        <v>22781.663012631201</v>
      </c>
      <c r="H37" s="9">
        <v>1493.43165965807</v>
      </c>
      <c r="I37" s="9">
        <v>109027.198361673</v>
      </c>
      <c r="J37" s="9">
        <v>16623.244637609801</v>
      </c>
      <c r="K37" s="9">
        <v>0</v>
      </c>
      <c r="L37" s="9">
        <v>53.380898918580797</v>
      </c>
      <c r="M37" s="9">
        <v>180.09959739005001</v>
      </c>
      <c r="N37" s="9">
        <v>61685.145448027797</v>
      </c>
      <c r="O37" s="9">
        <v>487.44965147125998</v>
      </c>
      <c r="P37" s="9">
        <v>0</v>
      </c>
      <c r="Q37" s="9">
        <v>368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215885.72445462874</v>
      </c>
      <c r="Y37">
        <v>2018</v>
      </c>
      <c r="Z37" s="1">
        <f t="shared" si="1"/>
        <v>182974.18886487401</v>
      </c>
      <c r="AA37" s="1">
        <f t="shared" si="0"/>
        <v>183000.957451914</v>
      </c>
    </row>
    <row r="38" spans="1:27" x14ac:dyDescent="0.3">
      <c r="A38" s="8">
        <v>2017</v>
      </c>
      <c r="B38" s="11">
        <v>420497.282866775</v>
      </c>
      <c r="C38" s="9">
        <v>0</v>
      </c>
      <c r="D38" s="9">
        <v>886.72775835522395</v>
      </c>
      <c r="E38" s="9">
        <v>1152.42269313064</v>
      </c>
      <c r="F38" s="9">
        <v>2948.53759228844</v>
      </c>
      <c r="G38" s="9">
        <v>92385.9919075301</v>
      </c>
      <c r="H38" s="9">
        <v>76.128848195040405</v>
      </c>
      <c r="I38" s="9">
        <v>157373.38305592301</v>
      </c>
      <c r="J38" s="9">
        <v>11008.9362245008</v>
      </c>
      <c r="K38" s="9">
        <v>0</v>
      </c>
      <c r="L38" s="9">
        <v>0</v>
      </c>
      <c r="M38" s="9">
        <v>1790.0284518481542</v>
      </c>
      <c r="N38" s="9">
        <v>22168.259773961447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56">
        <v>289790.41630573286</v>
      </c>
      <c r="Y38">
        <v>2019</v>
      </c>
      <c r="Z38" s="1">
        <f t="shared" si="1"/>
        <v>387110.20672223897</v>
      </c>
      <c r="AA38" s="1">
        <f t="shared" si="0"/>
        <v>417811.85067535413</v>
      </c>
    </row>
    <row r="39" spans="1:27" x14ac:dyDescent="0.3">
      <c r="A39" s="8">
        <v>2018</v>
      </c>
      <c r="B39" s="11">
        <v>182974.18886487401</v>
      </c>
      <c r="C39" s="9">
        <v>0</v>
      </c>
      <c r="D39" s="9">
        <v>12664.3036223663</v>
      </c>
      <c r="E39" s="9">
        <v>1692.51104583456</v>
      </c>
      <c r="F39" s="9">
        <v>34676.266702649802</v>
      </c>
      <c r="G39" s="9">
        <v>126779.637900897</v>
      </c>
      <c r="H39" s="9">
        <v>5.0423278306062302</v>
      </c>
      <c r="I39" s="9">
        <v>369048.41851838428</v>
      </c>
      <c r="J39" s="9">
        <v>15405.529401229107</v>
      </c>
      <c r="K39" s="9">
        <v>0</v>
      </c>
      <c r="L39" s="9">
        <v>308.45222669046927</v>
      </c>
      <c r="M39" s="9">
        <v>1097</v>
      </c>
      <c r="N39" s="9">
        <v>21384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/>
      <c r="U39" s="9"/>
      <c r="V39" s="9"/>
      <c r="W39" s="29"/>
      <c r="Y39">
        <v>2020</v>
      </c>
      <c r="Z39" s="1">
        <f t="shared" si="1"/>
        <v>178785.09519061999</v>
      </c>
      <c r="AA39" s="1">
        <f t="shared" si="0"/>
        <v>178785.35411297399</v>
      </c>
    </row>
    <row r="40" spans="1:27" x14ac:dyDescent="0.3">
      <c r="A40" s="8">
        <v>2019</v>
      </c>
      <c r="B40" s="11">
        <v>387110.20672223897</v>
      </c>
      <c r="C40" s="9">
        <v>0</v>
      </c>
      <c r="D40" s="9">
        <v>32649.838681408601</v>
      </c>
      <c r="E40" s="9">
        <v>877.019537271736</v>
      </c>
      <c r="F40" s="9">
        <v>128343.80270390157</v>
      </c>
      <c r="G40" s="9">
        <v>148201.20080540245</v>
      </c>
      <c r="H40" s="9">
        <v>0</v>
      </c>
      <c r="I40" s="9">
        <v>297548</v>
      </c>
      <c r="J40" s="9">
        <v>7057</v>
      </c>
      <c r="K40" s="9">
        <v>0</v>
      </c>
      <c r="L40" s="9">
        <v>0</v>
      </c>
      <c r="M40" s="9">
        <v>209</v>
      </c>
      <c r="N40" s="9">
        <v>33845</v>
      </c>
      <c r="O40" s="9">
        <v>0</v>
      </c>
      <c r="P40" s="9">
        <v>0</v>
      </c>
      <c r="Q40" s="9"/>
      <c r="R40" s="9"/>
      <c r="S40" s="9"/>
      <c r="T40" s="9"/>
      <c r="U40" s="9"/>
      <c r="V40" s="9"/>
      <c r="W40" s="9"/>
      <c r="Y40">
        <v>2021</v>
      </c>
      <c r="Z40" s="1">
        <f t="shared" si="1"/>
        <v>295725.63490901102</v>
      </c>
      <c r="AA40" s="1">
        <f t="shared" si="0"/>
        <v>295903.49889526935</v>
      </c>
    </row>
    <row r="41" spans="1:27" x14ac:dyDescent="0.3">
      <c r="A41" s="8">
        <v>2020</v>
      </c>
      <c r="B41" s="11">
        <v>178785.09519061999</v>
      </c>
      <c r="C41" s="9">
        <v>487.44965147125998</v>
      </c>
      <c r="D41" s="9">
        <v>2090</v>
      </c>
      <c r="E41" s="9">
        <v>3235</v>
      </c>
      <c r="F41" s="9">
        <v>1205</v>
      </c>
      <c r="G41" s="9">
        <v>90899</v>
      </c>
      <c r="H41" s="9">
        <v>0</v>
      </c>
      <c r="I41" s="9">
        <v>432029</v>
      </c>
      <c r="J41" s="9">
        <v>11367</v>
      </c>
      <c r="K41" s="9">
        <v>0</v>
      </c>
      <c r="L41" s="9">
        <v>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Y41">
        <v>2022</v>
      </c>
      <c r="Z41" s="1">
        <f t="shared" si="1"/>
        <v>412228.15855690499</v>
      </c>
      <c r="AA41" s="1">
        <f t="shared" si="0"/>
        <v>426720.07103767071</v>
      </c>
    </row>
    <row r="42" spans="1:27" x14ac:dyDescent="0.3">
      <c r="A42" s="8">
        <v>2021</v>
      </c>
      <c r="B42" s="11">
        <v>295725.63490901102</v>
      </c>
      <c r="C42" s="9">
        <v>0</v>
      </c>
      <c r="D42" s="9">
        <v>1460</v>
      </c>
      <c r="E42" s="9">
        <v>1458</v>
      </c>
      <c r="F42" s="9">
        <v>8727</v>
      </c>
      <c r="G42" s="9">
        <v>141994</v>
      </c>
      <c r="H42" s="9">
        <v>3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Y42">
        <v>2023</v>
      </c>
      <c r="Z42" s="1">
        <f t="shared" si="1"/>
        <v>431283</v>
      </c>
      <c r="AA42" s="1">
        <f t="shared" si="0"/>
        <v>690958.69188141753</v>
      </c>
    </row>
    <row r="43" spans="1:27" x14ac:dyDescent="0.3">
      <c r="A43" s="57">
        <v>2022</v>
      </c>
      <c r="B43" s="58">
        <v>412228.15855690499</v>
      </c>
      <c r="C43" s="56">
        <v>0</v>
      </c>
      <c r="D43" s="56">
        <v>1205</v>
      </c>
      <c r="E43" s="56">
        <v>2658</v>
      </c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Y43">
        <v>2024</v>
      </c>
      <c r="Z43" s="1">
        <f t="shared" si="1"/>
        <v>372831</v>
      </c>
      <c r="AA43" s="1">
        <f t="shared" si="0"/>
        <v>422108</v>
      </c>
    </row>
    <row r="44" spans="1:27" x14ac:dyDescent="0.3">
      <c r="A44" s="59">
        <v>2023</v>
      </c>
      <c r="B44" s="60">
        <v>431283</v>
      </c>
      <c r="C44" s="56">
        <v>0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Y44">
        <v>2025</v>
      </c>
      <c r="Z44" s="1">
        <f t="shared" si="1"/>
        <v>399019</v>
      </c>
      <c r="AA44" s="1">
        <f>SUM(C44,D43:E43,F42:H42,I41:L41,M40:P40,Q39:S39,T38:V38)</f>
        <v>632037</v>
      </c>
    </row>
    <row r="45" spans="1:27" x14ac:dyDescent="0.3">
      <c r="A45" s="8">
        <v>2024</v>
      </c>
      <c r="B45" s="60">
        <v>372831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</row>
    <row r="46" spans="1:27" x14ac:dyDescent="0.3">
      <c r="A46" s="57">
        <v>2025</v>
      </c>
      <c r="B46" s="60">
        <v>399019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</row>
  </sheetData>
  <mergeCells count="1">
    <mergeCell ref="C2:V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D137-5C21-49BC-A0D8-09B48F63D22D}">
  <dimension ref="A1:X46"/>
  <sheetViews>
    <sheetView workbookViewId="0">
      <selection activeCell="Y26" sqref="Y26"/>
    </sheetView>
  </sheetViews>
  <sheetFormatPr defaultRowHeight="14.4" x14ac:dyDescent="0.3"/>
  <cols>
    <col min="1" max="1" width="6.109375" customWidth="1"/>
    <col min="2" max="2" width="10.109375" bestFit="1" customWidth="1"/>
    <col min="3" max="5" width="6.44140625" customWidth="1"/>
    <col min="6" max="6" width="5.6640625" bestFit="1" customWidth="1"/>
    <col min="7" max="7" width="6.5546875" bestFit="1" customWidth="1"/>
    <col min="8" max="8" width="5.6640625" bestFit="1" customWidth="1"/>
    <col min="9" max="9" width="8.33203125" customWidth="1"/>
    <col min="10" max="10" width="6.5546875" bestFit="1" customWidth="1"/>
    <col min="11" max="12" width="4.88671875" bestFit="1" customWidth="1"/>
    <col min="13" max="13" width="5.6640625" bestFit="1" customWidth="1"/>
    <col min="14" max="14" width="7.88671875" bestFit="1" customWidth="1"/>
    <col min="15" max="15" width="5.6640625" bestFit="1" customWidth="1"/>
    <col min="16" max="16" width="3.5546875" bestFit="1" customWidth="1"/>
    <col min="17" max="18" width="5.6640625" bestFit="1" customWidth="1"/>
    <col min="19" max="19" width="4.88671875" bestFit="1" customWidth="1"/>
    <col min="20" max="20" width="3.5546875" bestFit="1" customWidth="1"/>
    <col min="21" max="21" width="4.88671875" bestFit="1" customWidth="1"/>
    <col min="22" max="22" width="3.5546875" bestFit="1" customWidth="1"/>
  </cols>
  <sheetData>
    <row r="1" spans="1:24" x14ac:dyDescent="0.3">
      <c r="A1" s="4" t="s">
        <v>15</v>
      </c>
    </row>
    <row r="2" spans="1:24" x14ac:dyDescent="0.3">
      <c r="A2" s="51"/>
      <c r="B2" s="51"/>
      <c r="C2" s="52" t="s">
        <v>35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3"/>
    </row>
    <row r="3" spans="1:24" x14ac:dyDescent="0.3">
      <c r="A3" s="54" t="s">
        <v>2</v>
      </c>
      <c r="B3" s="55" t="s">
        <v>7</v>
      </c>
      <c r="C3" s="55">
        <v>0.1</v>
      </c>
      <c r="D3" s="55" t="s">
        <v>16</v>
      </c>
      <c r="E3" s="55" t="s">
        <v>17</v>
      </c>
      <c r="F3" s="55" t="s">
        <v>18</v>
      </c>
      <c r="G3" s="55" t="s">
        <v>19</v>
      </c>
      <c r="H3" s="55" t="s">
        <v>20</v>
      </c>
      <c r="I3" s="55" t="s">
        <v>21</v>
      </c>
      <c r="J3" s="55" t="s">
        <v>22</v>
      </c>
      <c r="K3" s="55">
        <v>3.1</v>
      </c>
      <c r="L3" s="55">
        <v>0.4</v>
      </c>
      <c r="M3" s="55" t="s">
        <v>23</v>
      </c>
      <c r="N3" s="55" t="s">
        <v>24</v>
      </c>
      <c r="O3" s="55" t="s">
        <v>25</v>
      </c>
      <c r="P3" s="55">
        <v>4.0999999999999996</v>
      </c>
      <c r="Q3" s="55" t="s">
        <v>26</v>
      </c>
      <c r="R3" s="55" t="s">
        <v>27</v>
      </c>
      <c r="S3" s="55">
        <v>4.2</v>
      </c>
      <c r="T3" s="55">
        <v>2.5</v>
      </c>
      <c r="U3" s="55">
        <v>3.4</v>
      </c>
      <c r="V3" s="55">
        <v>4.3</v>
      </c>
      <c r="W3" s="55" t="s">
        <v>28</v>
      </c>
      <c r="X3" s="5"/>
    </row>
    <row r="4" spans="1:24" x14ac:dyDescent="0.3">
      <c r="A4" s="6">
        <v>1983</v>
      </c>
      <c r="B4" s="7">
        <v>428034.34420974809</v>
      </c>
      <c r="C4" s="7">
        <v>0</v>
      </c>
      <c r="D4" s="7">
        <v>0</v>
      </c>
      <c r="E4" s="7">
        <v>0</v>
      </c>
      <c r="F4" s="7">
        <v>2753.7343478702401</v>
      </c>
      <c r="G4" s="7">
        <v>11218.5934309817</v>
      </c>
      <c r="H4" s="7">
        <v>3530.96668408715</v>
      </c>
      <c r="I4" s="7">
        <v>98450.333584052394</v>
      </c>
      <c r="J4" s="7">
        <v>94831.605763113505</v>
      </c>
      <c r="K4" s="7">
        <v>0</v>
      </c>
      <c r="L4" s="7">
        <v>66.844463762561105</v>
      </c>
      <c r="M4" s="7">
        <v>0.62204968274321504</v>
      </c>
      <c r="N4" s="7">
        <v>990755.84134806006</v>
      </c>
      <c r="O4" s="7">
        <v>773.56843361512995</v>
      </c>
      <c r="P4" s="7">
        <v>0</v>
      </c>
      <c r="Q4" s="7">
        <v>10581.8162767289</v>
      </c>
      <c r="R4" s="7">
        <v>7.5156455874703196</v>
      </c>
      <c r="S4" s="7">
        <v>0</v>
      </c>
      <c r="T4" s="7">
        <v>168.33466976263301</v>
      </c>
      <c r="U4" s="7">
        <v>0</v>
      </c>
      <c r="V4" s="7">
        <v>0</v>
      </c>
      <c r="W4" s="7">
        <v>1213139.7766973046</v>
      </c>
      <c r="X4" s="5"/>
    </row>
    <row r="5" spans="1:24" x14ac:dyDescent="0.3">
      <c r="A5" s="8">
        <v>1984</v>
      </c>
      <c r="B5" s="9">
        <v>268495</v>
      </c>
      <c r="C5" s="9">
        <v>0</v>
      </c>
      <c r="D5" s="9">
        <v>369.800435144951</v>
      </c>
      <c r="E5" s="9">
        <v>1504.51738446838</v>
      </c>
      <c r="F5" s="9">
        <v>338.54889154661601</v>
      </c>
      <c r="G5" s="9">
        <v>22985.6277486371</v>
      </c>
      <c r="H5" s="9">
        <v>8672.9075870507204</v>
      </c>
      <c r="I5" s="9">
        <v>54207.087269561198</v>
      </c>
      <c r="J5" s="9">
        <v>290886.61910308502</v>
      </c>
      <c r="K5" s="9">
        <v>0</v>
      </c>
      <c r="L5" s="9">
        <v>0</v>
      </c>
      <c r="M5" s="9">
        <v>2246.7459808223198</v>
      </c>
      <c r="N5" s="9">
        <v>1316305.4741262</v>
      </c>
      <c r="O5" s="9">
        <v>1629.3796727962999</v>
      </c>
      <c r="P5" s="9">
        <v>0</v>
      </c>
      <c r="Q5" s="9">
        <v>7280.44256489908</v>
      </c>
      <c r="R5" s="9">
        <v>4855.8304765059702</v>
      </c>
      <c r="S5" s="9">
        <v>0</v>
      </c>
      <c r="T5" s="9">
        <v>0</v>
      </c>
      <c r="U5" s="9">
        <v>0</v>
      </c>
      <c r="V5" s="9">
        <v>0</v>
      </c>
      <c r="W5" s="9">
        <v>1711282.9812407175</v>
      </c>
      <c r="X5" s="5"/>
    </row>
    <row r="6" spans="1:24" x14ac:dyDescent="0.3">
      <c r="A6" s="8">
        <v>1985</v>
      </c>
      <c r="B6" s="9">
        <v>369260</v>
      </c>
      <c r="C6" s="9">
        <v>121.57833817085</v>
      </c>
      <c r="D6" s="9">
        <v>66.844463762561105</v>
      </c>
      <c r="E6" s="9">
        <v>475.05147946887098</v>
      </c>
      <c r="F6" s="9">
        <v>10.3104671885137</v>
      </c>
      <c r="G6" s="9">
        <v>6633.7775250936702</v>
      </c>
      <c r="H6" s="9">
        <v>13542.907937390301</v>
      </c>
      <c r="I6" s="9">
        <v>118217.23761742401</v>
      </c>
      <c r="J6" s="9">
        <v>140919.86279694701</v>
      </c>
      <c r="K6" s="9">
        <v>0</v>
      </c>
      <c r="L6" s="9">
        <v>531.48400784770104</v>
      </c>
      <c r="M6" s="9">
        <v>685.63707082204598</v>
      </c>
      <c r="N6" s="9">
        <v>277512.54628181801</v>
      </c>
      <c r="O6" s="9">
        <v>719.29254808861697</v>
      </c>
      <c r="P6" s="9">
        <v>0</v>
      </c>
      <c r="Q6" s="9">
        <v>2769.84461457832</v>
      </c>
      <c r="R6" s="9">
        <v>381.05277327498499</v>
      </c>
      <c r="S6" s="9">
        <v>0</v>
      </c>
      <c r="T6" s="9">
        <v>0</v>
      </c>
      <c r="U6" s="9">
        <v>0</v>
      </c>
      <c r="V6" s="9">
        <v>0</v>
      </c>
      <c r="W6" s="9">
        <v>562587.4279218755</v>
      </c>
      <c r="X6" s="5"/>
    </row>
    <row r="7" spans="1:24" x14ac:dyDescent="0.3">
      <c r="A7" s="8">
        <v>1986</v>
      </c>
      <c r="B7" s="9">
        <v>274501.37601919798</v>
      </c>
      <c r="C7" s="9">
        <v>133.27251126200599</v>
      </c>
      <c r="D7" s="9">
        <v>0.72038270406760097</v>
      </c>
      <c r="E7" s="9">
        <v>1582.12027097089</v>
      </c>
      <c r="F7" s="9">
        <v>12884.9796872569</v>
      </c>
      <c r="G7" s="9">
        <v>92066.456122136093</v>
      </c>
      <c r="H7" s="9">
        <v>920.39474028376503</v>
      </c>
      <c r="I7" s="9">
        <v>91509.563447754495</v>
      </c>
      <c r="J7" s="9">
        <v>120804.76099710701</v>
      </c>
      <c r="K7" s="9">
        <v>65.696636541748703</v>
      </c>
      <c r="L7" s="9">
        <v>65.696636541748703</v>
      </c>
      <c r="M7" s="9">
        <v>592.546948619408</v>
      </c>
      <c r="N7" s="9">
        <v>294512.77343814401</v>
      </c>
      <c r="O7" s="9">
        <v>2316.41815963217</v>
      </c>
      <c r="P7" s="9">
        <v>0</v>
      </c>
      <c r="Q7" s="9">
        <v>8854.9645603002009</v>
      </c>
      <c r="R7" s="9">
        <v>584.82444972033102</v>
      </c>
      <c r="S7" s="9">
        <v>0</v>
      </c>
      <c r="T7" s="9">
        <v>0</v>
      </c>
      <c r="U7" s="9">
        <v>301.70783049814798</v>
      </c>
      <c r="V7" s="9">
        <v>0</v>
      </c>
      <c r="W7" s="9">
        <v>627196.8968194729</v>
      </c>
      <c r="X7" s="5"/>
    </row>
    <row r="8" spans="1:24" x14ac:dyDescent="0.3">
      <c r="A8" s="8">
        <v>1987</v>
      </c>
      <c r="B8" s="9">
        <v>313289.15647925797</v>
      </c>
      <c r="C8" s="9">
        <v>0</v>
      </c>
      <c r="D8" s="9">
        <v>6059.6966474638402</v>
      </c>
      <c r="E8" s="9">
        <v>96.626355987080004</v>
      </c>
      <c r="F8" s="9">
        <v>594.00217944061797</v>
      </c>
      <c r="G8" s="9">
        <v>28763.019378552799</v>
      </c>
      <c r="H8" s="9">
        <v>6913.4725136386596</v>
      </c>
      <c r="I8" s="9">
        <v>207827.352123294</v>
      </c>
      <c r="J8" s="9">
        <v>148805.147411971</v>
      </c>
      <c r="K8" s="9">
        <v>202.62449428226901</v>
      </c>
      <c r="L8" s="9">
        <v>83.751976428424001</v>
      </c>
      <c r="M8" s="9">
        <v>3955.39076727976</v>
      </c>
      <c r="N8" s="9">
        <v>716709.13403573702</v>
      </c>
      <c r="O8" s="9">
        <v>2945.27000935863</v>
      </c>
      <c r="P8" s="9">
        <v>0</v>
      </c>
      <c r="Q8" s="9">
        <v>5896.02004006279</v>
      </c>
      <c r="R8" s="9">
        <v>79543.970179888798</v>
      </c>
      <c r="S8" s="9">
        <v>0</v>
      </c>
      <c r="T8" s="9">
        <v>0</v>
      </c>
      <c r="U8" s="9">
        <v>91.060228639438193</v>
      </c>
      <c r="V8" s="9">
        <v>0</v>
      </c>
      <c r="W8" s="9">
        <v>1208486.5383420254</v>
      </c>
      <c r="X8" s="5"/>
    </row>
    <row r="9" spans="1:24" x14ac:dyDescent="0.3">
      <c r="A9" s="8">
        <v>1988</v>
      </c>
      <c r="B9" s="9">
        <v>227784.981936039</v>
      </c>
      <c r="C9" s="9">
        <v>0</v>
      </c>
      <c r="D9" s="9">
        <v>0</v>
      </c>
      <c r="E9" s="9">
        <v>1685.10327060943</v>
      </c>
      <c r="F9" s="9">
        <v>660.97911813927601</v>
      </c>
      <c r="G9" s="9">
        <v>27011.434634296798</v>
      </c>
      <c r="H9" s="9">
        <v>2190.0446587984302</v>
      </c>
      <c r="I9" s="9">
        <v>180590.335440625</v>
      </c>
      <c r="J9" s="9">
        <v>75460.897388959303</v>
      </c>
      <c r="K9" s="9">
        <v>46.111142838871203</v>
      </c>
      <c r="L9" s="9">
        <v>0</v>
      </c>
      <c r="M9" s="9">
        <v>3087.9136518421001</v>
      </c>
      <c r="N9" s="9">
        <v>356441.76586323202</v>
      </c>
      <c r="O9" s="9">
        <v>3370.05940329855</v>
      </c>
      <c r="P9" s="9">
        <v>0</v>
      </c>
      <c r="Q9" s="9">
        <v>8031.22415195145</v>
      </c>
      <c r="R9" s="9">
        <v>5400.5201912964203</v>
      </c>
      <c r="S9" s="9">
        <v>0</v>
      </c>
      <c r="T9" s="9">
        <v>0</v>
      </c>
      <c r="U9" s="9">
        <v>236.91561694064899</v>
      </c>
      <c r="V9" s="9">
        <v>264.85574783125998</v>
      </c>
      <c r="W9" s="9">
        <v>664478.16028065968</v>
      </c>
      <c r="X9" s="5"/>
    </row>
    <row r="10" spans="1:24" x14ac:dyDescent="0.3">
      <c r="A10" s="8">
        <v>1989</v>
      </c>
      <c r="B10" s="9">
        <v>477630.96654821699</v>
      </c>
      <c r="C10" s="9">
        <v>0</v>
      </c>
      <c r="D10" s="9">
        <v>488.11568728271698</v>
      </c>
      <c r="E10" s="9">
        <v>4818.1911469509296</v>
      </c>
      <c r="F10" s="9">
        <v>5869.1854048025198</v>
      </c>
      <c r="G10" s="9">
        <v>107579.52496286501</v>
      </c>
      <c r="H10" s="9">
        <v>2914.0613514925499</v>
      </c>
      <c r="I10" s="9">
        <v>452820.65090002801</v>
      </c>
      <c r="J10" s="9">
        <v>117762.39704376701</v>
      </c>
      <c r="K10" s="9">
        <v>377.24308212275798</v>
      </c>
      <c r="L10" s="9">
        <v>753.79022310790106</v>
      </c>
      <c r="M10" s="9">
        <v>1815.2708297091599</v>
      </c>
      <c r="N10" s="9">
        <v>983343.14547922101</v>
      </c>
      <c r="O10" s="9">
        <v>5832.5830904001696</v>
      </c>
      <c r="P10" s="9">
        <v>0</v>
      </c>
      <c r="Q10" s="9">
        <v>10600.1890517675</v>
      </c>
      <c r="R10" s="9">
        <v>82893.714585876296</v>
      </c>
      <c r="S10" s="9">
        <v>136.50805146663001</v>
      </c>
      <c r="T10" s="9">
        <v>0</v>
      </c>
      <c r="U10" s="9">
        <v>35.620163149269501</v>
      </c>
      <c r="V10" s="9">
        <v>0</v>
      </c>
      <c r="W10" s="9">
        <v>1778040.1910540094</v>
      </c>
      <c r="X10" s="5"/>
    </row>
    <row r="11" spans="1:24" x14ac:dyDescent="0.3">
      <c r="A11" s="8">
        <v>1990</v>
      </c>
      <c r="B11" s="9">
        <v>269639.65904729802</v>
      </c>
      <c r="C11" s="9">
        <v>0</v>
      </c>
      <c r="D11" s="9">
        <v>263.99448804919399</v>
      </c>
      <c r="E11" s="9">
        <v>333.94684886315099</v>
      </c>
      <c r="F11" s="9">
        <v>7331.4744266420303</v>
      </c>
      <c r="G11" s="9">
        <v>30009.826763908499</v>
      </c>
      <c r="H11" s="9">
        <v>2740.8448421469702</v>
      </c>
      <c r="I11" s="9">
        <v>207503.64777029699</v>
      </c>
      <c r="J11" s="9">
        <v>120922.60024739899</v>
      </c>
      <c r="K11" s="9">
        <v>0</v>
      </c>
      <c r="L11" s="9">
        <v>6.3037783673940799</v>
      </c>
      <c r="M11" s="9">
        <v>2043.5311904657799</v>
      </c>
      <c r="N11" s="9">
        <v>500976.491854892</v>
      </c>
      <c r="O11" s="9">
        <v>1201.9950178357501</v>
      </c>
      <c r="P11" s="9">
        <v>0</v>
      </c>
      <c r="Q11" s="9">
        <v>1416.4063080866899</v>
      </c>
      <c r="R11" s="9">
        <v>13010.468318995599</v>
      </c>
      <c r="S11" s="9">
        <v>0</v>
      </c>
      <c r="T11" s="9">
        <v>0</v>
      </c>
      <c r="U11" s="9">
        <v>248.24139918484099</v>
      </c>
      <c r="V11" s="9">
        <v>0</v>
      </c>
      <c r="W11" s="9">
        <v>888009.77325513377</v>
      </c>
      <c r="X11" s="5"/>
    </row>
    <row r="12" spans="1:24" x14ac:dyDescent="0.3">
      <c r="A12" s="8">
        <v>1991</v>
      </c>
      <c r="B12" s="9">
        <v>284252.301685935</v>
      </c>
      <c r="C12" s="9">
        <v>0</v>
      </c>
      <c r="D12" s="9">
        <v>153.61342088621399</v>
      </c>
      <c r="E12" s="9">
        <v>264.68442250610502</v>
      </c>
      <c r="F12" s="9">
        <v>657.32402788298498</v>
      </c>
      <c r="G12" s="9">
        <v>67777.373714426605</v>
      </c>
      <c r="H12" s="9">
        <v>1716.6204784736799</v>
      </c>
      <c r="I12" s="9">
        <v>254853.644343969</v>
      </c>
      <c r="J12" s="9">
        <v>99393.813543817494</v>
      </c>
      <c r="K12" s="9">
        <v>0</v>
      </c>
      <c r="L12" s="9">
        <v>124.517891552151</v>
      </c>
      <c r="M12" s="9">
        <v>320.39407051385899</v>
      </c>
      <c r="N12" s="9">
        <v>401404.38541459601</v>
      </c>
      <c r="O12" s="9">
        <v>2578.7916466989</v>
      </c>
      <c r="P12" s="9">
        <v>0</v>
      </c>
      <c r="Q12" s="9">
        <v>4990.3276376621097</v>
      </c>
      <c r="R12" s="9">
        <v>3804.6195211815698</v>
      </c>
      <c r="S12" s="9">
        <v>0</v>
      </c>
      <c r="T12" s="9">
        <v>0</v>
      </c>
      <c r="U12" s="9">
        <v>0</v>
      </c>
      <c r="V12" s="9">
        <v>0</v>
      </c>
      <c r="W12" s="9">
        <v>838040.11013416655</v>
      </c>
      <c r="X12" s="5"/>
    </row>
    <row r="13" spans="1:24" x14ac:dyDescent="0.3">
      <c r="A13" s="8">
        <v>1992</v>
      </c>
      <c r="B13" s="9">
        <v>331008.58412750199</v>
      </c>
      <c r="C13" s="9">
        <v>0</v>
      </c>
      <c r="D13" s="9">
        <v>13.8200712331674</v>
      </c>
      <c r="E13" s="9">
        <v>1165.45108344458</v>
      </c>
      <c r="F13" s="9">
        <v>13778.164416342999</v>
      </c>
      <c r="G13" s="9">
        <v>18378.866670352902</v>
      </c>
      <c r="H13" s="9">
        <v>10763.3585130183</v>
      </c>
      <c r="I13" s="9">
        <v>122107.96313960799</v>
      </c>
      <c r="J13" s="9">
        <v>178486.021931247</v>
      </c>
      <c r="K13" s="9">
        <v>3295.5950817695698</v>
      </c>
      <c r="L13" s="9">
        <v>4.9516339247143</v>
      </c>
      <c r="M13" s="9">
        <v>1977.7496518795699</v>
      </c>
      <c r="N13" s="9">
        <v>564845.08035671304</v>
      </c>
      <c r="O13" s="9">
        <v>59607.198646509903</v>
      </c>
      <c r="P13" s="9">
        <v>0</v>
      </c>
      <c r="Q13" s="9">
        <v>1198.14976054774</v>
      </c>
      <c r="R13" s="9">
        <v>19419.572547557498</v>
      </c>
      <c r="S13" s="9">
        <v>0</v>
      </c>
      <c r="T13" s="9">
        <v>0</v>
      </c>
      <c r="U13" s="9">
        <v>0</v>
      </c>
      <c r="V13" s="9">
        <v>0</v>
      </c>
      <c r="W13" s="9">
        <v>995041.94350414909</v>
      </c>
      <c r="X13" s="5"/>
    </row>
    <row r="14" spans="1:24" x14ac:dyDescent="0.3">
      <c r="A14" s="8">
        <v>1993</v>
      </c>
      <c r="B14" s="9">
        <v>264442.04780590598</v>
      </c>
      <c r="C14" s="9">
        <v>0</v>
      </c>
      <c r="D14" s="9">
        <v>159.38129189623999</v>
      </c>
      <c r="E14" s="9">
        <v>553.91388434069495</v>
      </c>
      <c r="F14" s="9">
        <v>1783.4379631142499</v>
      </c>
      <c r="G14" s="9">
        <v>19486.811124445299</v>
      </c>
      <c r="H14" s="9">
        <v>16258.3070663812</v>
      </c>
      <c r="I14" s="9">
        <v>100934.37241357499</v>
      </c>
      <c r="J14" s="9">
        <v>295456.01015961601</v>
      </c>
      <c r="K14" s="9">
        <v>0</v>
      </c>
      <c r="L14" s="9">
        <v>2.0931416368422799</v>
      </c>
      <c r="M14" s="9">
        <v>1938.9992194230399</v>
      </c>
      <c r="N14" s="9">
        <v>1018153.64233818</v>
      </c>
      <c r="O14" s="9">
        <v>4499.2107708432704</v>
      </c>
      <c r="P14" s="9">
        <v>0</v>
      </c>
      <c r="Q14" s="9">
        <v>1261.54006319635</v>
      </c>
      <c r="R14" s="9">
        <v>178.134165840572</v>
      </c>
      <c r="S14" s="9">
        <v>0</v>
      </c>
      <c r="T14" s="9">
        <v>0</v>
      </c>
      <c r="U14" s="9">
        <v>0</v>
      </c>
      <c r="V14" s="9">
        <v>0</v>
      </c>
      <c r="W14" s="9">
        <v>1460665.8536024888</v>
      </c>
      <c r="X14" s="5"/>
    </row>
    <row r="15" spans="1:24" x14ac:dyDescent="0.3">
      <c r="A15" s="8">
        <v>1994</v>
      </c>
      <c r="B15" s="9">
        <v>286361.10960069997</v>
      </c>
      <c r="C15" s="9">
        <v>0</v>
      </c>
      <c r="D15" s="9">
        <v>23.606149917948098</v>
      </c>
      <c r="E15" s="9">
        <v>816.305873115694</v>
      </c>
      <c r="F15" s="9">
        <v>0</v>
      </c>
      <c r="G15" s="9">
        <v>41950.303991704299</v>
      </c>
      <c r="H15" s="9">
        <v>7151.3485680060503</v>
      </c>
      <c r="I15" s="9">
        <v>469141.02993033198</v>
      </c>
      <c r="J15" s="9">
        <v>290795.75553118601</v>
      </c>
      <c r="K15" s="9">
        <v>0</v>
      </c>
      <c r="L15" s="9">
        <v>0</v>
      </c>
      <c r="M15" s="9">
        <v>5113.4247153054202</v>
      </c>
      <c r="N15" s="9">
        <v>605757.60610997095</v>
      </c>
      <c r="O15" s="9">
        <v>269.55491160940397</v>
      </c>
      <c r="P15" s="9">
        <v>0</v>
      </c>
      <c r="Q15" s="9">
        <v>2427.9352625965198</v>
      </c>
      <c r="R15" s="9">
        <v>1363.30714470509</v>
      </c>
      <c r="S15" s="9">
        <v>1164.0870660563901</v>
      </c>
      <c r="T15" s="9">
        <v>0</v>
      </c>
      <c r="U15" s="9">
        <v>0</v>
      </c>
      <c r="V15" s="9">
        <v>0</v>
      </c>
      <c r="W15" s="9">
        <v>1425974.2652545059</v>
      </c>
      <c r="X15" s="5"/>
    </row>
    <row r="16" spans="1:24" x14ac:dyDescent="0.3">
      <c r="A16" s="8">
        <v>1995</v>
      </c>
      <c r="B16" s="9">
        <v>293759.854360028</v>
      </c>
      <c r="C16" s="9">
        <v>0</v>
      </c>
      <c r="D16" s="9">
        <v>35.283862586243004</v>
      </c>
      <c r="E16" s="9">
        <v>2200.1675490095399</v>
      </c>
      <c r="F16" s="9">
        <v>5613.2921519901402</v>
      </c>
      <c r="G16" s="9">
        <v>196987.53501108801</v>
      </c>
      <c r="H16" s="9">
        <v>0</v>
      </c>
      <c r="I16" s="9">
        <v>510178.38909379399</v>
      </c>
      <c r="J16" s="9">
        <v>42544.818123960104</v>
      </c>
      <c r="K16" s="9">
        <v>132.38520710091399</v>
      </c>
      <c r="L16" s="9">
        <v>0</v>
      </c>
      <c r="M16" s="9">
        <v>3070.2238399142798</v>
      </c>
      <c r="N16" s="9">
        <v>688335.51432751899</v>
      </c>
      <c r="O16" s="9">
        <v>14283.137125225399</v>
      </c>
      <c r="P16" s="9">
        <v>68.330987899840395</v>
      </c>
      <c r="Q16" s="9">
        <v>12267.310472646101</v>
      </c>
      <c r="R16" s="9">
        <v>12490.9250009919</v>
      </c>
      <c r="S16" s="9">
        <v>0</v>
      </c>
      <c r="T16" s="9">
        <v>0</v>
      </c>
      <c r="U16" s="9">
        <v>0</v>
      </c>
      <c r="V16" s="9">
        <v>0</v>
      </c>
      <c r="W16" s="9">
        <v>1488207.3127537253</v>
      </c>
      <c r="X16" s="5"/>
    </row>
    <row r="17" spans="1:24" x14ac:dyDescent="0.3">
      <c r="A17" s="8">
        <v>1996</v>
      </c>
      <c r="B17" s="9">
        <v>319674.01307901402</v>
      </c>
      <c r="C17" s="9">
        <v>0</v>
      </c>
      <c r="D17" s="9">
        <v>950.065130967762</v>
      </c>
      <c r="E17" s="9">
        <v>84.782026648881498</v>
      </c>
      <c r="F17" s="9">
        <v>71946.325257087898</v>
      </c>
      <c r="G17" s="9">
        <v>57377.488253446703</v>
      </c>
      <c r="H17" s="9">
        <v>267.943537600914</v>
      </c>
      <c r="I17" s="9">
        <v>525709.50261973497</v>
      </c>
      <c r="J17" s="9">
        <v>93661.388299886894</v>
      </c>
      <c r="K17" s="9">
        <v>205.794569697452</v>
      </c>
      <c r="L17" s="9">
        <v>180.670421230003</v>
      </c>
      <c r="M17" s="9">
        <v>7266.4209453921603</v>
      </c>
      <c r="N17" s="9">
        <v>526242.37427111005</v>
      </c>
      <c r="O17" s="9">
        <v>3735.7442056456898</v>
      </c>
      <c r="P17" s="9">
        <v>0</v>
      </c>
      <c r="Q17" s="9">
        <v>3094.8876821304402</v>
      </c>
      <c r="R17" s="9">
        <v>6687.8924588451</v>
      </c>
      <c r="S17" s="9">
        <v>0</v>
      </c>
      <c r="T17" s="9">
        <v>0</v>
      </c>
      <c r="U17" s="9">
        <v>0</v>
      </c>
      <c r="V17" s="9">
        <v>0</v>
      </c>
      <c r="W17" s="9">
        <v>1297411.2796794251</v>
      </c>
      <c r="X17" s="5"/>
    </row>
    <row r="18" spans="1:24" x14ac:dyDescent="0.3">
      <c r="A18" s="8">
        <v>1997</v>
      </c>
      <c r="B18" s="9">
        <v>306778.12492816802</v>
      </c>
      <c r="C18" s="9">
        <v>0</v>
      </c>
      <c r="D18" s="9">
        <v>3555.4397503842902</v>
      </c>
      <c r="E18" s="9">
        <v>132.38520710091399</v>
      </c>
      <c r="F18" s="9">
        <v>2052.6175348636698</v>
      </c>
      <c r="G18" s="9">
        <v>26605.7997230619</v>
      </c>
      <c r="H18" s="9">
        <v>2106.6076317481602</v>
      </c>
      <c r="I18" s="9">
        <v>187487.12843738499</v>
      </c>
      <c r="J18" s="9">
        <v>106317.457572635</v>
      </c>
      <c r="K18" s="9">
        <v>0</v>
      </c>
      <c r="L18" s="9">
        <v>420.114920638716</v>
      </c>
      <c r="M18" s="9">
        <v>1692.5720247167401</v>
      </c>
      <c r="N18" s="9">
        <v>531344.48635952803</v>
      </c>
      <c r="O18" s="9">
        <v>2238.6766760589699</v>
      </c>
      <c r="P18" s="9">
        <v>0</v>
      </c>
      <c r="Q18" s="9">
        <v>3892.4719093591302</v>
      </c>
      <c r="R18" s="9">
        <v>2724.5851013598399</v>
      </c>
      <c r="S18" s="9">
        <v>0</v>
      </c>
      <c r="T18" s="9">
        <v>0</v>
      </c>
      <c r="U18" s="9">
        <v>212.64515</v>
      </c>
      <c r="V18" s="9">
        <v>0</v>
      </c>
      <c r="W18" s="9">
        <v>870782.9879988404</v>
      </c>
      <c r="X18" s="5"/>
    </row>
    <row r="19" spans="1:24" x14ac:dyDescent="0.3">
      <c r="A19" s="8">
        <v>1998</v>
      </c>
      <c r="B19" s="9">
        <v>218237.648183499</v>
      </c>
      <c r="C19" s="9">
        <v>0</v>
      </c>
      <c r="D19" s="9">
        <v>179.04330504481399</v>
      </c>
      <c r="E19" s="9">
        <v>1441.65597351458</v>
      </c>
      <c r="F19" s="9">
        <v>2244.0098767467798</v>
      </c>
      <c r="G19" s="9">
        <v>46062.334792353002</v>
      </c>
      <c r="H19" s="9">
        <v>131.396805736164</v>
      </c>
      <c r="I19" s="9">
        <v>221804.350713536</v>
      </c>
      <c r="J19" s="9">
        <v>35543.719512764699</v>
      </c>
      <c r="K19" s="9">
        <v>0</v>
      </c>
      <c r="L19" s="9">
        <v>0</v>
      </c>
      <c r="M19" s="9">
        <v>603.96235256311502</v>
      </c>
      <c r="N19" s="9">
        <v>158613.346898619</v>
      </c>
      <c r="O19" s="9">
        <v>255.80587464434399</v>
      </c>
      <c r="P19" s="9">
        <v>0</v>
      </c>
      <c r="Q19" s="9">
        <v>404.31973117869001</v>
      </c>
      <c r="R19" s="9">
        <v>827.09451239493296</v>
      </c>
      <c r="S19" s="9">
        <v>0</v>
      </c>
      <c r="T19" s="9">
        <v>0</v>
      </c>
      <c r="U19" s="9">
        <v>0</v>
      </c>
      <c r="V19" s="9">
        <v>0</v>
      </c>
      <c r="W19" s="9">
        <v>468111.04034909618</v>
      </c>
      <c r="X19" s="5"/>
    </row>
    <row r="20" spans="1:24" x14ac:dyDescent="0.3">
      <c r="A20" s="8">
        <v>1999</v>
      </c>
      <c r="B20" s="9">
        <v>291431.54265510303</v>
      </c>
      <c r="C20" s="9">
        <v>0</v>
      </c>
      <c r="D20" s="9">
        <v>593.78132772060303</v>
      </c>
      <c r="E20" s="9">
        <v>83.492531447993102</v>
      </c>
      <c r="F20" s="9">
        <v>8715.2711988986794</v>
      </c>
      <c r="G20" s="9">
        <v>51381.844815397897</v>
      </c>
      <c r="H20" s="9">
        <v>2501.38052930498</v>
      </c>
      <c r="I20" s="9">
        <v>135312.34549984901</v>
      </c>
      <c r="J20" s="9">
        <v>42008.356891513598</v>
      </c>
      <c r="K20" s="9">
        <v>0</v>
      </c>
      <c r="L20" s="9">
        <v>0</v>
      </c>
      <c r="M20" s="9">
        <v>1925.1780563638799</v>
      </c>
      <c r="N20" s="9">
        <v>120981.05361769399</v>
      </c>
      <c r="O20" s="9">
        <v>106.41078</v>
      </c>
      <c r="P20" s="9">
        <v>0</v>
      </c>
      <c r="Q20" s="9">
        <v>1934.06438371801</v>
      </c>
      <c r="R20" s="9">
        <v>617.11374498884402</v>
      </c>
      <c r="S20" s="9">
        <v>0</v>
      </c>
      <c r="T20" s="9">
        <v>0</v>
      </c>
      <c r="U20" s="9">
        <v>0</v>
      </c>
      <c r="V20" s="9">
        <v>0</v>
      </c>
      <c r="W20" s="9">
        <v>366160.29337689746</v>
      </c>
      <c r="X20" s="5"/>
    </row>
    <row r="21" spans="1:24" x14ac:dyDescent="0.3">
      <c r="A21" s="8">
        <v>2000</v>
      </c>
      <c r="B21" s="9">
        <v>439155.44076897902</v>
      </c>
      <c r="C21" s="9">
        <v>0</v>
      </c>
      <c r="D21" s="9">
        <v>158.53519354196601</v>
      </c>
      <c r="E21" s="9">
        <v>1274.4679533503499</v>
      </c>
      <c r="F21" s="9">
        <v>3392.6317801697101</v>
      </c>
      <c r="G21" s="9">
        <v>62219.912319196403</v>
      </c>
      <c r="H21" s="9">
        <v>1121.3223940052301</v>
      </c>
      <c r="I21" s="9">
        <v>553116.63519620197</v>
      </c>
      <c r="J21" s="9">
        <v>19690.153566645698</v>
      </c>
      <c r="K21" s="9">
        <v>0</v>
      </c>
      <c r="L21" s="9">
        <v>0</v>
      </c>
      <c r="M21" s="9">
        <v>5826.4172201434503</v>
      </c>
      <c r="N21" s="9">
        <v>390459.39594383701</v>
      </c>
      <c r="O21" s="9">
        <v>0</v>
      </c>
      <c r="P21" s="9">
        <v>0</v>
      </c>
      <c r="Q21" s="9">
        <v>7310.2596364309202</v>
      </c>
      <c r="R21" s="9">
        <v>5266.3850329072502</v>
      </c>
      <c r="S21" s="9">
        <v>0</v>
      </c>
      <c r="T21" s="9">
        <v>0</v>
      </c>
      <c r="U21" s="9">
        <v>0</v>
      </c>
      <c r="V21" s="9">
        <v>0</v>
      </c>
      <c r="W21" s="9">
        <v>1049836.1162364299</v>
      </c>
      <c r="X21" s="5"/>
    </row>
    <row r="22" spans="1:24" x14ac:dyDescent="0.3">
      <c r="A22" s="8">
        <v>2001</v>
      </c>
      <c r="B22" s="9">
        <v>301857.97195807297</v>
      </c>
      <c r="C22" s="9">
        <v>0</v>
      </c>
      <c r="D22" s="9">
        <v>16.758403128250301</v>
      </c>
      <c r="E22" s="9">
        <v>350.086486627471</v>
      </c>
      <c r="F22" s="9">
        <v>11643.911412678901</v>
      </c>
      <c r="G22" s="9">
        <v>15139.3512609101</v>
      </c>
      <c r="H22" s="9">
        <v>1035.99508117849</v>
      </c>
      <c r="I22" s="9">
        <v>272175.99533301097</v>
      </c>
      <c r="J22" s="9">
        <v>41331.149053177302</v>
      </c>
      <c r="K22" s="9">
        <v>0</v>
      </c>
      <c r="L22" s="9">
        <v>1165.84116670088</v>
      </c>
      <c r="M22" s="9">
        <v>13990.4028980036</v>
      </c>
      <c r="N22" s="9">
        <v>382953.74052225199</v>
      </c>
      <c r="O22" s="9">
        <v>572.68724900595703</v>
      </c>
      <c r="P22" s="9">
        <v>0</v>
      </c>
      <c r="Q22" s="9">
        <v>6102.6258438250197</v>
      </c>
      <c r="R22" s="9">
        <v>156.25839263080499</v>
      </c>
      <c r="S22" s="9">
        <v>0</v>
      </c>
      <c r="T22" s="9">
        <v>0</v>
      </c>
      <c r="U22" s="9">
        <v>0</v>
      </c>
      <c r="V22" s="9">
        <v>0</v>
      </c>
      <c r="W22" s="9">
        <v>746634.80310312985</v>
      </c>
      <c r="X22" s="5"/>
    </row>
    <row r="23" spans="1:24" x14ac:dyDescent="0.3">
      <c r="A23" s="8">
        <v>2002</v>
      </c>
      <c r="B23" s="9">
        <v>331119.94684143597</v>
      </c>
      <c r="C23" s="9">
        <v>0</v>
      </c>
      <c r="D23" s="9">
        <v>0</v>
      </c>
      <c r="E23" s="9">
        <v>403.72307982705001</v>
      </c>
      <c r="F23" s="9">
        <v>7861.1170409541701</v>
      </c>
      <c r="G23" s="9">
        <v>28265.8448211789</v>
      </c>
      <c r="H23" s="9">
        <v>0</v>
      </c>
      <c r="I23" s="9">
        <v>280212.035386456</v>
      </c>
      <c r="J23" s="9">
        <v>24250.8972737435</v>
      </c>
      <c r="K23" s="9">
        <v>0</v>
      </c>
      <c r="L23" s="9">
        <v>190.20889859566</v>
      </c>
      <c r="M23" s="9">
        <v>3376.23598536809</v>
      </c>
      <c r="N23" s="9">
        <v>263721.21776549099</v>
      </c>
      <c r="O23" s="9">
        <v>272.05334415515398</v>
      </c>
      <c r="P23" s="9">
        <v>0</v>
      </c>
      <c r="Q23" s="9">
        <v>3562.6079183891502</v>
      </c>
      <c r="R23" s="9">
        <v>1955.89758950592</v>
      </c>
      <c r="S23" s="9">
        <v>0</v>
      </c>
      <c r="T23" s="9">
        <v>0</v>
      </c>
      <c r="U23" s="9">
        <v>0</v>
      </c>
      <c r="V23" s="9">
        <v>0</v>
      </c>
      <c r="W23" s="9">
        <v>614071.8391036645</v>
      </c>
      <c r="X23" s="5"/>
    </row>
    <row r="24" spans="1:24" x14ac:dyDescent="0.3">
      <c r="A24" s="8">
        <v>2003</v>
      </c>
      <c r="B24" s="9">
        <v>246938.62093834201</v>
      </c>
      <c r="C24" s="9">
        <v>0</v>
      </c>
      <c r="D24" s="9">
        <v>923.21987089768095</v>
      </c>
      <c r="E24" s="9">
        <v>333.65117973572097</v>
      </c>
      <c r="F24" s="9">
        <v>36497.611109561803</v>
      </c>
      <c r="G24" s="9">
        <v>44297.734604596102</v>
      </c>
      <c r="H24" s="9">
        <v>266.25784712863401</v>
      </c>
      <c r="I24" s="9">
        <v>224080.65977912099</v>
      </c>
      <c r="J24" s="9">
        <v>38119.559597728497</v>
      </c>
      <c r="K24" s="9">
        <v>0</v>
      </c>
      <c r="L24" s="9">
        <v>44.781155041397</v>
      </c>
      <c r="M24" s="9">
        <v>3111.26071125833</v>
      </c>
      <c r="N24" s="9">
        <v>339251.51189503499</v>
      </c>
      <c r="O24" s="9">
        <v>216.007899913014</v>
      </c>
      <c r="P24" s="9">
        <v>0</v>
      </c>
      <c r="Q24" s="9">
        <v>3126.7759459398599</v>
      </c>
      <c r="R24" s="9">
        <v>2453.91645116875</v>
      </c>
      <c r="S24" s="9">
        <v>0</v>
      </c>
      <c r="T24" s="9">
        <v>0</v>
      </c>
      <c r="U24" s="9">
        <v>0</v>
      </c>
      <c r="V24" s="9">
        <v>0</v>
      </c>
      <c r="W24" s="9">
        <v>692722.94804712571</v>
      </c>
      <c r="X24" s="5"/>
    </row>
    <row r="25" spans="1:24" x14ac:dyDescent="0.3">
      <c r="A25" s="8">
        <v>2004</v>
      </c>
      <c r="B25" s="9">
        <v>216226.723164825</v>
      </c>
      <c r="C25" s="9">
        <v>0</v>
      </c>
      <c r="D25" s="9">
        <v>4235.7473681271204</v>
      </c>
      <c r="E25" s="9">
        <v>857.90070819591801</v>
      </c>
      <c r="F25" s="9">
        <v>35644.242859208003</v>
      </c>
      <c r="G25" s="9">
        <v>15898.671365156701</v>
      </c>
      <c r="H25" s="9">
        <v>543.025631994337</v>
      </c>
      <c r="I25" s="9">
        <v>321923.76956950699</v>
      </c>
      <c r="J25" s="9">
        <v>140622.78844217601</v>
      </c>
      <c r="K25" s="9">
        <v>0</v>
      </c>
      <c r="L25" s="9">
        <v>220.90267267865599</v>
      </c>
      <c r="M25" s="9">
        <v>1343.90006815524</v>
      </c>
      <c r="N25" s="9">
        <v>452340.29574944603</v>
      </c>
      <c r="O25" s="9">
        <v>0</v>
      </c>
      <c r="P25" s="9">
        <v>0</v>
      </c>
      <c r="Q25" s="9">
        <v>7906.2767023035403</v>
      </c>
      <c r="R25" s="9">
        <v>8897.4979026175497</v>
      </c>
      <c r="S25" s="9">
        <v>0</v>
      </c>
      <c r="T25" s="9">
        <v>0</v>
      </c>
      <c r="U25" s="9">
        <v>0</v>
      </c>
      <c r="V25" s="9">
        <v>0</v>
      </c>
      <c r="W25" s="9">
        <v>990435.01903956605</v>
      </c>
      <c r="X25" s="5"/>
    </row>
    <row r="26" spans="1:24" x14ac:dyDescent="0.3">
      <c r="A26" s="8">
        <v>2005</v>
      </c>
      <c r="B26" s="9">
        <v>245396.08702685201</v>
      </c>
      <c r="C26" s="9">
        <v>0</v>
      </c>
      <c r="D26" s="9">
        <v>512.15967646886395</v>
      </c>
      <c r="E26" s="9">
        <v>1.4362149888966599E-2</v>
      </c>
      <c r="F26" s="9">
        <v>11473.373127231</v>
      </c>
      <c r="G26" s="9">
        <v>53278.980553965601</v>
      </c>
      <c r="H26" s="9">
        <v>1078.33956489654</v>
      </c>
      <c r="I26" s="9">
        <v>362571.43821866898</v>
      </c>
      <c r="J26" s="9">
        <v>48116.2186331536</v>
      </c>
      <c r="K26" s="9">
        <v>0</v>
      </c>
      <c r="L26" s="9">
        <v>0</v>
      </c>
      <c r="M26" s="9">
        <v>2167.3159343367101</v>
      </c>
      <c r="N26" s="9">
        <v>283064.024900708</v>
      </c>
      <c r="O26" s="9">
        <v>31696.457955194001</v>
      </c>
      <c r="P26" s="9">
        <v>0</v>
      </c>
      <c r="Q26" s="9">
        <v>3177.1475399939</v>
      </c>
      <c r="R26" s="9">
        <v>23753.743744978601</v>
      </c>
      <c r="S26" s="9">
        <v>0</v>
      </c>
      <c r="T26" s="9">
        <v>0</v>
      </c>
      <c r="U26" s="9">
        <v>5559.5953308533199</v>
      </c>
      <c r="V26" s="9">
        <v>0</v>
      </c>
      <c r="W26" s="9">
        <v>826448.8095425989</v>
      </c>
      <c r="X26" s="5"/>
    </row>
    <row r="27" spans="1:24" x14ac:dyDescent="0.3">
      <c r="A27" s="8">
        <v>2006</v>
      </c>
      <c r="B27" s="9">
        <v>323705.87766563601</v>
      </c>
      <c r="C27" s="9">
        <v>0</v>
      </c>
      <c r="D27" s="9">
        <v>1718.04227477932</v>
      </c>
      <c r="E27" s="9">
        <v>756.64812678436601</v>
      </c>
      <c r="F27" s="9">
        <v>10794.5613004646</v>
      </c>
      <c r="G27" s="9">
        <v>60772.757819432198</v>
      </c>
      <c r="H27" s="9">
        <v>2880.07605203093</v>
      </c>
      <c r="I27" s="9">
        <v>249542.29591004801</v>
      </c>
      <c r="J27" s="9">
        <v>173159.781996056</v>
      </c>
      <c r="K27" s="9">
        <v>187.64737042527</v>
      </c>
      <c r="L27" s="9">
        <v>0</v>
      </c>
      <c r="M27" s="9">
        <v>4193.27533225757</v>
      </c>
      <c r="N27" s="9">
        <v>855640.55688225396</v>
      </c>
      <c r="O27" s="9">
        <v>850.770297278268</v>
      </c>
      <c r="P27" s="9">
        <v>0</v>
      </c>
      <c r="Q27" s="9">
        <v>12506.305317952399</v>
      </c>
      <c r="R27" s="9">
        <v>34871.396819069298</v>
      </c>
      <c r="S27" s="9">
        <v>0</v>
      </c>
      <c r="T27" s="9">
        <v>0</v>
      </c>
      <c r="U27" s="9">
        <v>0</v>
      </c>
      <c r="V27" s="9">
        <v>0</v>
      </c>
      <c r="W27" s="9">
        <v>1407874.115498832</v>
      </c>
      <c r="X27" s="5"/>
    </row>
    <row r="28" spans="1:24" x14ac:dyDescent="0.3">
      <c r="A28" s="8">
        <v>2007</v>
      </c>
      <c r="B28" s="9">
        <v>265192.06573741598</v>
      </c>
      <c r="C28" s="9">
        <v>0</v>
      </c>
      <c r="D28" s="9">
        <v>2260.2429653633199</v>
      </c>
      <c r="E28" s="9">
        <v>1134.3590438547501</v>
      </c>
      <c r="F28" s="9">
        <v>11697.763020480201</v>
      </c>
      <c r="G28" s="9">
        <v>13655.8711087255</v>
      </c>
      <c r="H28" s="9">
        <v>900.21348100961904</v>
      </c>
      <c r="I28" s="9">
        <v>62118.692584143202</v>
      </c>
      <c r="J28" s="9">
        <v>91442.496867669601</v>
      </c>
      <c r="K28" s="9">
        <v>0</v>
      </c>
      <c r="L28" s="9">
        <v>16.650801633741199</v>
      </c>
      <c r="M28" s="9">
        <v>1.45784364710315</v>
      </c>
      <c r="N28" s="9">
        <v>622115.37770586903</v>
      </c>
      <c r="O28" s="9">
        <v>0</v>
      </c>
      <c r="P28" s="9">
        <v>0</v>
      </c>
      <c r="Q28" s="9">
        <v>4651.2117929285196</v>
      </c>
      <c r="R28" s="9">
        <v>1212.66290431999</v>
      </c>
      <c r="S28" s="9">
        <v>0</v>
      </c>
      <c r="T28" s="9">
        <v>0</v>
      </c>
      <c r="U28" s="9">
        <v>0</v>
      </c>
      <c r="V28" s="9">
        <v>0</v>
      </c>
      <c r="W28" s="9">
        <v>811207.00011964457</v>
      </c>
      <c r="X28" s="5"/>
    </row>
    <row r="29" spans="1:24" x14ac:dyDescent="0.3">
      <c r="A29" s="8">
        <v>2008</v>
      </c>
      <c r="B29" s="9">
        <v>265358.89849999902</v>
      </c>
      <c r="C29" s="9">
        <v>0</v>
      </c>
      <c r="D29" s="9">
        <v>740.79885555105</v>
      </c>
      <c r="E29" s="9">
        <v>2991.0700558819599</v>
      </c>
      <c r="F29" s="9">
        <v>2957.5664444254598</v>
      </c>
      <c r="G29" s="9">
        <v>188796.201912182</v>
      </c>
      <c r="H29" s="9">
        <v>651.95887862797497</v>
      </c>
      <c r="I29" s="9">
        <v>301685.67916753201</v>
      </c>
      <c r="J29" s="9">
        <v>37622.4714124292</v>
      </c>
      <c r="K29" s="9">
        <v>0</v>
      </c>
      <c r="L29" s="9">
        <v>0</v>
      </c>
      <c r="M29" s="9">
        <v>1352.3011576814699</v>
      </c>
      <c r="N29" s="9">
        <v>342358.415494346</v>
      </c>
      <c r="O29" s="9">
        <v>0</v>
      </c>
      <c r="P29" s="9">
        <v>0</v>
      </c>
      <c r="Q29" s="9">
        <v>0</v>
      </c>
      <c r="R29" s="9">
        <v>9391.9271344398803</v>
      </c>
      <c r="S29" s="9">
        <v>0</v>
      </c>
      <c r="T29" s="9">
        <v>0</v>
      </c>
      <c r="U29" s="9">
        <v>0</v>
      </c>
      <c r="V29" s="9">
        <v>0</v>
      </c>
      <c r="W29" s="9">
        <v>888548.39051309705</v>
      </c>
      <c r="X29" s="5"/>
    </row>
    <row r="30" spans="1:24" x14ac:dyDescent="0.3">
      <c r="A30" s="8">
        <v>2009</v>
      </c>
      <c r="B30" s="9">
        <v>273679.42720390402</v>
      </c>
      <c r="C30" s="9">
        <v>0</v>
      </c>
      <c r="D30" s="9">
        <v>0</v>
      </c>
      <c r="E30" s="9">
        <v>1196.35495023515</v>
      </c>
      <c r="F30" s="9">
        <v>177.50236009565501</v>
      </c>
      <c r="G30" s="9">
        <v>30763.620853974098</v>
      </c>
      <c r="H30" s="9">
        <v>3035.5134186232699</v>
      </c>
      <c r="I30" s="9">
        <v>104385.648970202</v>
      </c>
      <c r="J30" s="9">
        <v>193185.69476083099</v>
      </c>
      <c r="K30" s="9">
        <v>0</v>
      </c>
      <c r="L30" s="9">
        <v>2136.1215725561701</v>
      </c>
      <c r="M30" s="9">
        <v>1535.4059687669301</v>
      </c>
      <c r="N30" s="9">
        <v>860228.98434264096</v>
      </c>
      <c r="O30" s="9">
        <v>6335.9413592763703</v>
      </c>
      <c r="P30" s="9">
        <v>0</v>
      </c>
      <c r="Q30" s="9">
        <v>575.053983512836</v>
      </c>
      <c r="R30" s="9">
        <v>3947.8172473172499</v>
      </c>
      <c r="S30" s="9">
        <v>0</v>
      </c>
      <c r="T30" s="9">
        <v>0</v>
      </c>
      <c r="U30" s="9">
        <v>145.50183776558899</v>
      </c>
      <c r="V30" s="9">
        <v>0</v>
      </c>
      <c r="W30" s="9">
        <v>1207649.1616257972</v>
      </c>
      <c r="X30" s="5"/>
    </row>
    <row r="31" spans="1:24" x14ac:dyDescent="0.3">
      <c r="A31" s="8">
        <v>2010</v>
      </c>
      <c r="B31" s="9">
        <v>293395.37376067397</v>
      </c>
      <c r="C31" s="9">
        <v>0</v>
      </c>
      <c r="D31" s="9">
        <v>0</v>
      </c>
      <c r="E31" s="9">
        <v>3102.5968399025201</v>
      </c>
      <c r="F31" s="9">
        <v>591.55486051838602</v>
      </c>
      <c r="G31" s="9">
        <v>62018.302821379599</v>
      </c>
      <c r="H31" s="9">
        <v>14991.611258880201</v>
      </c>
      <c r="I31" s="9">
        <v>582703.21811895794</v>
      </c>
      <c r="J31" s="9">
        <v>141841.570877536</v>
      </c>
      <c r="K31" s="9">
        <v>0</v>
      </c>
      <c r="L31" s="9">
        <v>0</v>
      </c>
      <c r="M31" s="9">
        <v>923.93714008946301</v>
      </c>
      <c r="N31" s="9">
        <v>356405.87381224497</v>
      </c>
      <c r="O31" s="9">
        <v>1114.4194500058099</v>
      </c>
      <c r="P31" s="9">
        <v>0</v>
      </c>
      <c r="Q31" s="9">
        <v>12309.8257976656</v>
      </c>
      <c r="R31" s="9">
        <v>4389.4216338771903</v>
      </c>
      <c r="S31" s="9">
        <v>0</v>
      </c>
      <c r="T31" s="9">
        <v>0</v>
      </c>
      <c r="U31" s="9">
        <v>0</v>
      </c>
      <c r="V31" s="9">
        <v>0</v>
      </c>
      <c r="W31" s="9">
        <v>1180392.3326110577</v>
      </c>
      <c r="X31" s="5"/>
    </row>
    <row r="32" spans="1:24" x14ac:dyDescent="0.3">
      <c r="A32" s="8">
        <v>2011</v>
      </c>
      <c r="B32" s="9">
        <v>261258.942784076</v>
      </c>
      <c r="C32" s="9">
        <v>0</v>
      </c>
      <c r="D32" s="9">
        <v>0</v>
      </c>
      <c r="E32" s="9">
        <v>6403.7196040750496</v>
      </c>
      <c r="F32" s="9">
        <v>752.56867371894805</v>
      </c>
      <c r="G32" s="9">
        <v>118758.7387443</v>
      </c>
      <c r="H32" s="9">
        <v>11428.028150095901</v>
      </c>
      <c r="I32" s="9">
        <v>435909.227021495</v>
      </c>
      <c r="J32" s="9">
        <v>59868.457451210197</v>
      </c>
      <c r="K32" s="9">
        <v>0</v>
      </c>
      <c r="L32" s="9">
        <v>0</v>
      </c>
      <c r="M32" s="9">
        <v>5276.4471786604599</v>
      </c>
      <c r="N32" s="9">
        <v>317091.01364979602</v>
      </c>
      <c r="O32" s="9">
        <v>223.289904379208</v>
      </c>
      <c r="P32" s="9">
        <v>0</v>
      </c>
      <c r="Q32" s="9">
        <v>2224.8375366752398</v>
      </c>
      <c r="R32" s="9">
        <v>456.35515359528102</v>
      </c>
      <c r="S32" s="9">
        <v>0</v>
      </c>
      <c r="T32" s="9">
        <v>0</v>
      </c>
      <c r="U32" s="9">
        <v>0</v>
      </c>
      <c r="V32" s="9">
        <v>0</v>
      </c>
      <c r="W32" s="9">
        <v>958392.68306800141</v>
      </c>
      <c r="X32" s="5"/>
    </row>
    <row r="33" spans="1:24" x14ac:dyDescent="0.3">
      <c r="A33" s="8">
        <v>2012</v>
      </c>
      <c r="B33" s="9">
        <v>351681.79999665503</v>
      </c>
      <c r="C33" s="9">
        <v>0</v>
      </c>
      <c r="D33" s="9">
        <v>0</v>
      </c>
      <c r="E33" s="9">
        <v>4416.34934408565</v>
      </c>
      <c r="F33" s="9">
        <v>1282.5390469522599</v>
      </c>
      <c r="G33" s="9">
        <v>35951.077071198997</v>
      </c>
      <c r="H33" s="9">
        <v>1707.8209366588801</v>
      </c>
      <c r="I33" s="9">
        <v>200027.70411955399</v>
      </c>
      <c r="J33" s="9">
        <v>35510.851255305497</v>
      </c>
      <c r="K33" s="9">
        <v>0</v>
      </c>
      <c r="L33" s="9">
        <v>0</v>
      </c>
      <c r="M33" s="9">
        <v>1985.8318918822599</v>
      </c>
      <c r="N33" s="9">
        <v>40610.260667808798</v>
      </c>
      <c r="O33" s="9">
        <v>428.75199080188202</v>
      </c>
      <c r="P33" s="9">
        <v>0</v>
      </c>
      <c r="Q33" s="9">
        <v>547.553961766302</v>
      </c>
      <c r="R33" s="9">
        <v>1860.8762655404901</v>
      </c>
      <c r="S33" s="9">
        <v>0</v>
      </c>
      <c r="T33" s="9">
        <v>0</v>
      </c>
      <c r="U33" s="9">
        <v>0</v>
      </c>
      <c r="V33" s="9">
        <v>0</v>
      </c>
      <c r="W33" s="9">
        <v>324329.61655155499</v>
      </c>
      <c r="X33" s="5"/>
    </row>
    <row r="34" spans="1:24" x14ac:dyDescent="0.3">
      <c r="A34" s="8">
        <v>2013</v>
      </c>
      <c r="B34" s="9">
        <v>351349.14841700601</v>
      </c>
      <c r="C34" s="9">
        <v>0</v>
      </c>
      <c r="D34" s="9">
        <v>436.00927678214401</v>
      </c>
      <c r="E34" s="9">
        <v>925.78564981678505</v>
      </c>
      <c r="F34" s="9">
        <v>8181.4347009695402</v>
      </c>
      <c r="G34" s="9">
        <v>48358.810820583698</v>
      </c>
      <c r="H34" s="9">
        <v>4131.0622553168496</v>
      </c>
      <c r="I34" s="9">
        <v>100126.302688308</v>
      </c>
      <c r="J34" s="9">
        <v>113014.26065939</v>
      </c>
      <c r="K34" s="9">
        <v>0</v>
      </c>
      <c r="L34" s="9">
        <v>0.54111474913889002</v>
      </c>
      <c r="M34" s="9">
        <v>770.71760388182304</v>
      </c>
      <c r="N34" s="9">
        <v>389664.379406041</v>
      </c>
      <c r="O34" s="9">
        <v>0</v>
      </c>
      <c r="P34" s="9">
        <v>0</v>
      </c>
      <c r="Q34" s="9">
        <v>901.39343549934404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666510.69761133846</v>
      </c>
      <c r="X34" s="5"/>
    </row>
    <row r="35" spans="1:24" x14ac:dyDescent="0.3">
      <c r="A35" s="8">
        <v>2014</v>
      </c>
      <c r="B35" s="9">
        <v>297812.43278243899</v>
      </c>
      <c r="C35" s="9">
        <v>0</v>
      </c>
      <c r="D35" s="9">
        <v>950.97610427600296</v>
      </c>
      <c r="E35" s="9">
        <v>2965.7411265927399</v>
      </c>
      <c r="F35" s="9">
        <v>10872.721990414901</v>
      </c>
      <c r="G35" s="9">
        <v>73531.880191495002</v>
      </c>
      <c r="H35" s="9">
        <v>228.39200763724099</v>
      </c>
      <c r="I35" s="9">
        <v>228511.72825441201</v>
      </c>
      <c r="J35" s="9">
        <v>26373.424154622899</v>
      </c>
      <c r="K35" s="9">
        <v>0</v>
      </c>
      <c r="L35" s="9">
        <v>916.93612869029698</v>
      </c>
      <c r="M35" s="9">
        <v>285.814980959629</v>
      </c>
      <c r="N35" s="9">
        <v>53489.053880378502</v>
      </c>
      <c r="O35" s="9">
        <v>69.806950795249605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398196.47577027447</v>
      </c>
      <c r="X35" s="5"/>
    </row>
    <row r="36" spans="1:24" x14ac:dyDescent="0.3">
      <c r="A36" s="8">
        <v>2015</v>
      </c>
      <c r="B36" s="9">
        <v>702050.84418504802</v>
      </c>
      <c r="C36" s="9">
        <v>0</v>
      </c>
      <c r="D36" s="9">
        <v>11834.216619200701</v>
      </c>
      <c r="E36" s="9">
        <v>1447.92224312804</v>
      </c>
      <c r="F36" s="9">
        <v>73890.623290024203</v>
      </c>
      <c r="G36" s="9">
        <v>13681.550164492</v>
      </c>
      <c r="H36" s="9">
        <v>17373.319351119</v>
      </c>
      <c r="I36" s="9">
        <v>37608.817701067201</v>
      </c>
      <c r="J36" s="9">
        <v>50035.510625870498</v>
      </c>
      <c r="K36" s="9">
        <v>0</v>
      </c>
      <c r="L36" s="9">
        <v>99.150691795630294</v>
      </c>
      <c r="M36" s="9">
        <v>8.1687508515386096</v>
      </c>
      <c r="N36" s="9">
        <v>287019.46909887798</v>
      </c>
      <c r="O36" s="9">
        <v>953.81459155316804</v>
      </c>
      <c r="P36" s="9">
        <v>0</v>
      </c>
      <c r="Q36" s="9">
        <v>2803</v>
      </c>
      <c r="R36" s="9">
        <v>697</v>
      </c>
      <c r="S36" s="9">
        <v>0</v>
      </c>
      <c r="T36" s="9">
        <v>0</v>
      </c>
      <c r="U36" s="9">
        <v>0</v>
      </c>
      <c r="V36" s="9">
        <v>0</v>
      </c>
      <c r="W36" s="9">
        <v>497452.56312797999</v>
      </c>
      <c r="X36" s="5"/>
    </row>
    <row r="37" spans="1:24" x14ac:dyDescent="0.3">
      <c r="A37" s="8">
        <v>2016</v>
      </c>
      <c r="B37" s="9">
        <v>356463.75748856401</v>
      </c>
      <c r="C37" s="9">
        <v>0</v>
      </c>
      <c r="D37" s="9">
        <v>466.175876507672</v>
      </c>
      <c r="E37" s="9">
        <v>4540.4100730482796</v>
      </c>
      <c r="F37" s="9">
        <v>579.975229715056</v>
      </c>
      <c r="G37" s="9">
        <v>8014.7123163288197</v>
      </c>
      <c r="H37" s="9">
        <v>829.376790341929</v>
      </c>
      <c r="I37" s="9">
        <v>67936.527370902593</v>
      </c>
      <c r="J37" s="9">
        <v>28766.022566610201</v>
      </c>
      <c r="K37" s="9">
        <v>0</v>
      </c>
      <c r="L37" s="9">
        <v>1155.93766294542</v>
      </c>
      <c r="M37" s="9">
        <v>1</v>
      </c>
      <c r="N37" s="9">
        <v>115545</v>
      </c>
      <c r="O37" s="9">
        <v>8</v>
      </c>
      <c r="P37" s="9">
        <v>0</v>
      </c>
      <c r="Q37" s="9">
        <v>2689.7306541419243</v>
      </c>
      <c r="R37" s="9">
        <v>699.69207741541845</v>
      </c>
      <c r="S37" s="9">
        <v>0</v>
      </c>
      <c r="T37" s="9">
        <v>0</v>
      </c>
      <c r="U37" s="9">
        <v>0</v>
      </c>
      <c r="V37" s="9">
        <v>0</v>
      </c>
      <c r="W37" s="9">
        <v>231232.56061795732</v>
      </c>
      <c r="X37" s="5"/>
    </row>
    <row r="38" spans="1:24" x14ac:dyDescent="0.3">
      <c r="A38" s="61">
        <v>2017</v>
      </c>
      <c r="B38" s="9">
        <v>372063.717133225</v>
      </c>
      <c r="C38" s="9">
        <v>0</v>
      </c>
      <c r="D38" s="9">
        <v>134.55528164477599</v>
      </c>
      <c r="E38" s="9">
        <v>143.89273686936301</v>
      </c>
      <c r="F38" s="9">
        <v>10281.813975299599</v>
      </c>
      <c r="G38" s="9">
        <v>52008.332455957898</v>
      </c>
      <c r="H38" s="9">
        <v>1723.45085130496</v>
      </c>
      <c r="I38" s="9">
        <v>133845</v>
      </c>
      <c r="J38" s="9">
        <v>31193</v>
      </c>
      <c r="K38" s="9">
        <v>0</v>
      </c>
      <c r="L38" s="9">
        <v>0</v>
      </c>
      <c r="M38" s="9">
        <v>79.317204151845786</v>
      </c>
      <c r="N38" s="9">
        <v>125225.93914281875</v>
      </c>
      <c r="O38" s="9">
        <v>0</v>
      </c>
      <c r="P38" s="9">
        <v>0</v>
      </c>
      <c r="Q38" s="9">
        <v>603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56">
        <v>355238.30164804723</v>
      </c>
    </row>
    <row r="39" spans="1:24" x14ac:dyDescent="0.3">
      <c r="A39" s="61">
        <v>2018</v>
      </c>
      <c r="B39" s="9">
        <v>356723.81113512599</v>
      </c>
      <c r="C39" s="9">
        <v>0</v>
      </c>
      <c r="D39" s="9">
        <v>9799.5365424936899</v>
      </c>
      <c r="E39" s="9">
        <v>6326.5933664334398</v>
      </c>
      <c r="F39" s="9">
        <v>15675</v>
      </c>
      <c r="G39" s="9">
        <v>354965</v>
      </c>
      <c r="H39" s="9">
        <v>6266</v>
      </c>
      <c r="I39" s="9">
        <v>811316.33711128624</v>
      </c>
      <c r="J39" s="9">
        <v>202418.66046506329</v>
      </c>
      <c r="K39" s="9">
        <v>0</v>
      </c>
      <c r="L39" s="9">
        <v>0</v>
      </c>
      <c r="M39" s="9">
        <v>1970</v>
      </c>
      <c r="N39" s="9">
        <v>111509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/>
      <c r="U39" s="9"/>
      <c r="V39" s="9"/>
      <c r="W39" s="56"/>
    </row>
    <row r="40" spans="1:24" x14ac:dyDescent="0.3">
      <c r="A40" s="61">
        <v>2019</v>
      </c>
      <c r="B40" s="9">
        <v>294888.79327776103</v>
      </c>
      <c r="C40" s="9">
        <v>0</v>
      </c>
      <c r="D40" s="9">
        <v>6137</v>
      </c>
      <c r="E40" s="9">
        <v>6570</v>
      </c>
      <c r="F40" s="9">
        <v>23036.933496098416</v>
      </c>
      <c r="G40" s="9">
        <v>95997.978605192038</v>
      </c>
      <c r="H40" s="9">
        <v>2341.962103211597</v>
      </c>
      <c r="I40" s="9">
        <v>232794</v>
      </c>
      <c r="J40" s="9">
        <v>54695</v>
      </c>
      <c r="K40" s="9">
        <v>0</v>
      </c>
      <c r="L40" s="9">
        <v>0</v>
      </c>
      <c r="M40" s="9">
        <v>2011</v>
      </c>
      <c r="N40" s="9">
        <v>116270</v>
      </c>
      <c r="O40" s="9">
        <v>0</v>
      </c>
      <c r="P40" s="9">
        <v>0</v>
      </c>
      <c r="Q40" s="9"/>
      <c r="R40" s="9"/>
      <c r="S40" s="9"/>
      <c r="T40" s="9"/>
      <c r="U40" s="9"/>
      <c r="V40" s="9"/>
      <c r="W40" s="56"/>
    </row>
    <row r="41" spans="1:24" x14ac:dyDescent="0.3">
      <c r="A41" s="61">
        <v>2020</v>
      </c>
      <c r="B41" s="9">
        <v>152192.48080938001</v>
      </c>
      <c r="C41" s="9">
        <v>8</v>
      </c>
      <c r="D41" s="9">
        <v>3452.4090210000004</v>
      </c>
      <c r="E41" s="9">
        <v>8376.1094986174794</v>
      </c>
      <c r="F41" s="9">
        <v>3961</v>
      </c>
      <c r="G41" s="9">
        <v>145574</v>
      </c>
      <c r="H41" s="9">
        <v>1236</v>
      </c>
      <c r="I41" s="9">
        <v>1013193</v>
      </c>
      <c r="J41" s="9">
        <v>23515</v>
      </c>
      <c r="K41" s="9">
        <v>0</v>
      </c>
      <c r="L41" s="9">
        <v>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56"/>
    </row>
    <row r="42" spans="1:24" x14ac:dyDescent="0.3">
      <c r="A42" s="61">
        <v>2021</v>
      </c>
      <c r="B42" s="9">
        <v>345215.99749098899</v>
      </c>
      <c r="C42" s="9">
        <v>0</v>
      </c>
      <c r="D42" s="9">
        <v>1146</v>
      </c>
      <c r="E42" s="9">
        <v>4651</v>
      </c>
      <c r="F42" s="9">
        <v>3809</v>
      </c>
      <c r="G42" s="9">
        <v>159914</v>
      </c>
      <c r="H42" s="9">
        <v>3487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5"/>
    </row>
    <row r="43" spans="1:24" x14ac:dyDescent="0.3">
      <c r="A43" s="62">
        <v>2022</v>
      </c>
      <c r="B43" s="56">
        <v>395858.08334309497</v>
      </c>
      <c r="C43" s="56">
        <v>0</v>
      </c>
      <c r="D43" s="56">
        <v>40</v>
      </c>
      <c r="E43" s="56">
        <v>18576</v>
      </c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</row>
    <row r="44" spans="1:24" x14ac:dyDescent="0.3">
      <c r="A44" s="61">
        <v>2023</v>
      </c>
      <c r="B44" s="56">
        <v>457071</v>
      </c>
      <c r="C44" s="56">
        <v>0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</row>
    <row r="45" spans="1:24" x14ac:dyDescent="0.3">
      <c r="A45" s="61">
        <v>2024</v>
      </c>
      <c r="B45" s="56">
        <v>354749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</row>
    <row r="46" spans="1:24" x14ac:dyDescent="0.3">
      <c r="A46" s="62">
        <v>2025</v>
      </c>
      <c r="B46" s="56">
        <v>659246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</row>
  </sheetData>
  <mergeCells count="1">
    <mergeCell ref="C2:V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D0C2-86D4-4946-9E37-6BC381EC60B7}">
  <sheetPr>
    <tabColor theme="1"/>
    <pageSetUpPr fitToPage="1"/>
  </sheetPr>
  <dimension ref="A1:AQ108"/>
  <sheetViews>
    <sheetView topLeftCell="A20" zoomScale="90" zoomScaleNormal="90" workbookViewId="0">
      <selection activeCell="S55" sqref="S55"/>
    </sheetView>
  </sheetViews>
  <sheetFormatPr defaultColWidth="7.6640625" defaultRowHeight="13.2" x14ac:dyDescent="0.25"/>
  <cols>
    <col min="1" max="1" width="9.88671875" style="42" customWidth="1"/>
    <col min="2" max="2" width="12.5546875" style="44" customWidth="1"/>
    <col min="3" max="3" width="15.109375" style="44" customWidth="1"/>
    <col min="4" max="4" width="9.88671875" style="44" customWidth="1"/>
    <col min="5" max="5" width="10.109375" style="44" customWidth="1"/>
    <col min="6" max="6" width="7.6640625" style="44" customWidth="1"/>
    <col min="7" max="7" width="9" style="44" customWidth="1"/>
    <col min="8" max="8" width="10.5546875" style="44" customWidth="1"/>
    <col min="9" max="9" width="10.44140625" style="44" customWidth="1"/>
    <col min="10" max="10" width="10" style="44" customWidth="1"/>
    <col min="11" max="11" width="11" style="44" customWidth="1"/>
    <col min="12" max="13" width="9.88671875" style="44" customWidth="1"/>
    <col min="14" max="14" width="8.88671875" style="44" customWidth="1"/>
    <col min="15" max="18" width="7.6640625" style="44" customWidth="1"/>
    <col min="19" max="19" width="10.5546875" style="44" customWidth="1"/>
    <col min="20" max="20" width="11.6640625" style="44" customWidth="1"/>
    <col min="21" max="21" width="11.109375" style="44" customWidth="1"/>
    <col min="22" max="22" width="9.44140625" style="44" customWidth="1"/>
    <col min="23" max="23" width="10.6640625" style="44" customWidth="1"/>
    <col min="24" max="24" width="10.33203125" style="44" customWidth="1"/>
    <col min="25" max="25" width="12.33203125" style="44" bestFit="1" customWidth="1"/>
    <col min="26" max="26" width="10.44140625" style="44" customWidth="1"/>
    <col min="27" max="27" width="7.6640625" style="44"/>
    <col min="28" max="29" width="10.33203125" style="44" bestFit="1" customWidth="1"/>
    <col min="30" max="256" width="7.6640625" style="44"/>
    <col min="257" max="257" width="20" style="44" customWidth="1"/>
    <col min="258" max="258" width="12.5546875" style="44" customWidth="1"/>
    <col min="259" max="259" width="15.109375" style="44" customWidth="1"/>
    <col min="260" max="260" width="9.88671875" style="44" customWidth="1"/>
    <col min="261" max="261" width="10.109375" style="44" customWidth="1"/>
    <col min="262" max="262" width="7.6640625" style="44"/>
    <col min="263" max="263" width="9" style="44" customWidth="1"/>
    <col min="264" max="264" width="10.5546875" style="44" customWidth="1"/>
    <col min="265" max="265" width="10.44140625" style="44" customWidth="1"/>
    <col min="266" max="266" width="10" style="44" customWidth="1"/>
    <col min="267" max="267" width="11" style="44" customWidth="1"/>
    <col min="268" max="269" width="9.88671875" style="44" customWidth="1"/>
    <col min="270" max="270" width="8.88671875" style="44" customWidth="1"/>
    <col min="271" max="274" width="7.6640625" style="44"/>
    <col min="275" max="275" width="10.5546875" style="44" customWidth="1"/>
    <col min="276" max="276" width="11.6640625" style="44" customWidth="1"/>
    <col min="277" max="277" width="11.109375" style="44" customWidth="1"/>
    <col min="278" max="278" width="9.44140625" style="44" customWidth="1"/>
    <col min="279" max="279" width="10.6640625" style="44" customWidth="1"/>
    <col min="280" max="280" width="10.33203125" style="44" customWidth="1"/>
    <col min="281" max="281" width="12.33203125" style="44" bestFit="1" customWidth="1"/>
    <col min="282" max="282" width="10.44140625" style="44" customWidth="1"/>
    <col min="283" max="283" width="7.6640625" style="44"/>
    <col min="284" max="285" width="10.33203125" style="44" bestFit="1" customWidth="1"/>
    <col min="286" max="512" width="7.6640625" style="44"/>
    <col min="513" max="513" width="20" style="44" customWidth="1"/>
    <col min="514" max="514" width="12.5546875" style="44" customWidth="1"/>
    <col min="515" max="515" width="15.109375" style="44" customWidth="1"/>
    <col min="516" max="516" width="9.88671875" style="44" customWidth="1"/>
    <col min="517" max="517" width="10.109375" style="44" customWidth="1"/>
    <col min="518" max="518" width="7.6640625" style="44"/>
    <col min="519" max="519" width="9" style="44" customWidth="1"/>
    <col min="520" max="520" width="10.5546875" style="44" customWidth="1"/>
    <col min="521" max="521" width="10.44140625" style="44" customWidth="1"/>
    <col min="522" max="522" width="10" style="44" customWidth="1"/>
    <col min="523" max="523" width="11" style="44" customWidth="1"/>
    <col min="524" max="525" width="9.88671875" style="44" customWidth="1"/>
    <col min="526" max="526" width="8.88671875" style="44" customWidth="1"/>
    <col min="527" max="530" width="7.6640625" style="44"/>
    <col min="531" max="531" width="10.5546875" style="44" customWidth="1"/>
    <col min="532" max="532" width="11.6640625" style="44" customWidth="1"/>
    <col min="533" max="533" width="11.109375" style="44" customWidth="1"/>
    <col min="534" max="534" width="9.44140625" style="44" customWidth="1"/>
    <col min="535" max="535" width="10.6640625" style="44" customWidth="1"/>
    <col min="536" max="536" width="10.33203125" style="44" customWidth="1"/>
    <col min="537" max="537" width="12.33203125" style="44" bestFit="1" customWidth="1"/>
    <col min="538" max="538" width="10.44140625" style="44" customWidth="1"/>
    <col min="539" max="539" width="7.6640625" style="44"/>
    <col min="540" max="541" width="10.33203125" style="44" bestFit="1" customWidth="1"/>
    <col min="542" max="768" width="7.6640625" style="44"/>
    <col min="769" max="769" width="20" style="44" customWidth="1"/>
    <col min="770" max="770" width="12.5546875" style="44" customWidth="1"/>
    <col min="771" max="771" width="15.109375" style="44" customWidth="1"/>
    <col min="772" max="772" width="9.88671875" style="44" customWidth="1"/>
    <col min="773" max="773" width="10.109375" style="44" customWidth="1"/>
    <col min="774" max="774" width="7.6640625" style="44"/>
    <col min="775" max="775" width="9" style="44" customWidth="1"/>
    <col min="776" max="776" width="10.5546875" style="44" customWidth="1"/>
    <col min="777" max="777" width="10.44140625" style="44" customWidth="1"/>
    <col min="778" max="778" width="10" style="44" customWidth="1"/>
    <col min="779" max="779" width="11" style="44" customWidth="1"/>
    <col min="780" max="781" width="9.88671875" style="44" customWidth="1"/>
    <col min="782" max="782" width="8.88671875" style="44" customWidth="1"/>
    <col min="783" max="786" width="7.6640625" style="44"/>
    <col min="787" max="787" width="10.5546875" style="44" customWidth="1"/>
    <col min="788" max="788" width="11.6640625" style="44" customWidth="1"/>
    <col min="789" max="789" width="11.109375" style="44" customWidth="1"/>
    <col min="790" max="790" width="9.44140625" style="44" customWidth="1"/>
    <col min="791" max="791" width="10.6640625" style="44" customWidth="1"/>
    <col min="792" max="792" width="10.33203125" style="44" customWidth="1"/>
    <col min="793" max="793" width="12.33203125" style="44" bestFit="1" customWidth="1"/>
    <col min="794" max="794" width="10.44140625" style="44" customWidth="1"/>
    <col min="795" max="795" width="7.6640625" style="44"/>
    <col min="796" max="797" width="10.33203125" style="44" bestFit="1" customWidth="1"/>
    <col min="798" max="1024" width="7.6640625" style="44"/>
    <col min="1025" max="1025" width="20" style="44" customWidth="1"/>
    <col min="1026" max="1026" width="12.5546875" style="44" customWidth="1"/>
    <col min="1027" max="1027" width="15.109375" style="44" customWidth="1"/>
    <col min="1028" max="1028" width="9.88671875" style="44" customWidth="1"/>
    <col min="1029" max="1029" width="10.109375" style="44" customWidth="1"/>
    <col min="1030" max="1030" width="7.6640625" style="44"/>
    <col min="1031" max="1031" width="9" style="44" customWidth="1"/>
    <col min="1032" max="1032" width="10.5546875" style="44" customWidth="1"/>
    <col min="1033" max="1033" width="10.44140625" style="44" customWidth="1"/>
    <col min="1034" max="1034" width="10" style="44" customWidth="1"/>
    <col min="1035" max="1035" width="11" style="44" customWidth="1"/>
    <col min="1036" max="1037" width="9.88671875" style="44" customWidth="1"/>
    <col min="1038" max="1038" width="8.88671875" style="44" customWidth="1"/>
    <col min="1039" max="1042" width="7.6640625" style="44"/>
    <col min="1043" max="1043" width="10.5546875" style="44" customWidth="1"/>
    <col min="1044" max="1044" width="11.6640625" style="44" customWidth="1"/>
    <col min="1045" max="1045" width="11.109375" style="44" customWidth="1"/>
    <col min="1046" max="1046" width="9.44140625" style="44" customWidth="1"/>
    <col min="1047" max="1047" width="10.6640625" style="44" customWidth="1"/>
    <col min="1048" max="1048" width="10.33203125" style="44" customWidth="1"/>
    <col min="1049" max="1049" width="12.33203125" style="44" bestFit="1" customWidth="1"/>
    <col min="1050" max="1050" width="10.44140625" style="44" customWidth="1"/>
    <col min="1051" max="1051" width="7.6640625" style="44"/>
    <col min="1052" max="1053" width="10.33203125" style="44" bestFit="1" customWidth="1"/>
    <col min="1054" max="1280" width="7.6640625" style="44"/>
    <col min="1281" max="1281" width="20" style="44" customWidth="1"/>
    <col min="1282" max="1282" width="12.5546875" style="44" customWidth="1"/>
    <col min="1283" max="1283" width="15.109375" style="44" customWidth="1"/>
    <col min="1284" max="1284" width="9.88671875" style="44" customWidth="1"/>
    <col min="1285" max="1285" width="10.109375" style="44" customWidth="1"/>
    <col min="1286" max="1286" width="7.6640625" style="44"/>
    <col min="1287" max="1287" width="9" style="44" customWidth="1"/>
    <col min="1288" max="1288" width="10.5546875" style="44" customWidth="1"/>
    <col min="1289" max="1289" width="10.44140625" style="44" customWidth="1"/>
    <col min="1290" max="1290" width="10" style="44" customWidth="1"/>
    <col min="1291" max="1291" width="11" style="44" customWidth="1"/>
    <col min="1292" max="1293" width="9.88671875" style="44" customWidth="1"/>
    <col min="1294" max="1294" width="8.88671875" style="44" customWidth="1"/>
    <col min="1295" max="1298" width="7.6640625" style="44"/>
    <col min="1299" max="1299" width="10.5546875" style="44" customWidth="1"/>
    <col min="1300" max="1300" width="11.6640625" style="44" customWidth="1"/>
    <col min="1301" max="1301" width="11.109375" style="44" customWidth="1"/>
    <col min="1302" max="1302" width="9.44140625" style="44" customWidth="1"/>
    <col min="1303" max="1303" width="10.6640625" style="44" customWidth="1"/>
    <col min="1304" max="1304" width="10.33203125" style="44" customWidth="1"/>
    <col min="1305" max="1305" width="12.33203125" style="44" bestFit="1" customWidth="1"/>
    <col min="1306" max="1306" width="10.44140625" style="44" customWidth="1"/>
    <col min="1307" max="1307" width="7.6640625" style="44"/>
    <col min="1308" max="1309" width="10.33203125" style="44" bestFit="1" customWidth="1"/>
    <col min="1310" max="1536" width="7.6640625" style="44"/>
    <col min="1537" max="1537" width="20" style="44" customWidth="1"/>
    <col min="1538" max="1538" width="12.5546875" style="44" customWidth="1"/>
    <col min="1539" max="1539" width="15.109375" style="44" customWidth="1"/>
    <col min="1540" max="1540" width="9.88671875" style="44" customWidth="1"/>
    <col min="1541" max="1541" width="10.109375" style="44" customWidth="1"/>
    <col min="1542" max="1542" width="7.6640625" style="44"/>
    <col min="1543" max="1543" width="9" style="44" customWidth="1"/>
    <col min="1544" max="1544" width="10.5546875" style="44" customWidth="1"/>
    <col min="1545" max="1545" width="10.44140625" style="44" customWidth="1"/>
    <col min="1546" max="1546" width="10" style="44" customWidth="1"/>
    <col min="1547" max="1547" width="11" style="44" customWidth="1"/>
    <col min="1548" max="1549" width="9.88671875" style="44" customWidth="1"/>
    <col min="1550" max="1550" width="8.88671875" style="44" customWidth="1"/>
    <col min="1551" max="1554" width="7.6640625" style="44"/>
    <col min="1555" max="1555" width="10.5546875" style="44" customWidth="1"/>
    <col min="1556" max="1556" width="11.6640625" style="44" customWidth="1"/>
    <col min="1557" max="1557" width="11.109375" style="44" customWidth="1"/>
    <col min="1558" max="1558" width="9.44140625" style="44" customWidth="1"/>
    <col min="1559" max="1559" width="10.6640625" style="44" customWidth="1"/>
    <col min="1560" max="1560" width="10.33203125" style="44" customWidth="1"/>
    <col min="1561" max="1561" width="12.33203125" style="44" bestFit="1" customWidth="1"/>
    <col min="1562" max="1562" width="10.44140625" style="44" customWidth="1"/>
    <col min="1563" max="1563" width="7.6640625" style="44"/>
    <col min="1564" max="1565" width="10.33203125" style="44" bestFit="1" customWidth="1"/>
    <col min="1566" max="1792" width="7.6640625" style="44"/>
    <col min="1793" max="1793" width="20" style="44" customWidth="1"/>
    <col min="1794" max="1794" width="12.5546875" style="44" customWidth="1"/>
    <col min="1795" max="1795" width="15.109375" style="44" customWidth="1"/>
    <col min="1796" max="1796" width="9.88671875" style="44" customWidth="1"/>
    <col min="1797" max="1797" width="10.109375" style="44" customWidth="1"/>
    <col min="1798" max="1798" width="7.6640625" style="44"/>
    <col min="1799" max="1799" width="9" style="44" customWidth="1"/>
    <col min="1800" max="1800" width="10.5546875" style="44" customWidth="1"/>
    <col min="1801" max="1801" width="10.44140625" style="44" customWidth="1"/>
    <col min="1802" max="1802" width="10" style="44" customWidth="1"/>
    <col min="1803" max="1803" width="11" style="44" customWidth="1"/>
    <col min="1804" max="1805" width="9.88671875" style="44" customWidth="1"/>
    <col min="1806" max="1806" width="8.88671875" style="44" customWidth="1"/>
    <col min="1807" max="1810" width="7.6640625" style="44"/>
    <col min="1811" max="1811" width="10.5546875" style="44" customWidth="1"/>
    <col min="1812" max="1812" width="11.6640625" style="44" customWidth="1"/>
    <col min="1813" max="1813" width="11.109375" style="44" customWidth="1"/>
    <col min="1814" max="1814" width="9.44140625" style="44" customWidth="1"/>
    <col min="1815" max="1815" width="10.6640625" style="44" customWidth="1"/>
    <col min="1816" max="1816" width="10.33203125" style="44" customWidth="1"/>
    <col min="1817" max="1817" width="12.33203125" style="44" bestFit="1" customWidth="1"/>
    <col min="1818" max="1818" width="10.44140625" style="44" customWidth="1"/>
    <col min="1819" max="1819" width="7.6640625" style="44"/>
    <col min="1820" max="1821" width="10.33203125" style="44" bestFit="1" customWidth="1"/>
    <col min="1822" max="2048" width="7.6640625" style="44"/>
    <col min="2049" max="2049" width="20" style="44" customWidth="1"/>
    <col min="2050" max="2050" width="12.5546875" style="44" customWidth="1"/>
    <col min="2051" max="2051" width="15.109375" style="44" customWidth="1"/>
    <col min="2052" max="2052" width="9.88671875" style="44" customWidth="1"/>
    <col min="2053" max="2053" width="10.109375" style="44" customWidth="1"/>
    <col min="2054" max="2054" width="7.6640625" style="44"/>
    <col min="2055" max="2055" width="9" style="44" customWidth="1"/>
    <col min="2056" max="2056" width="10.5546875" style="44" customWidth="1"/>
    <col min="2057" max="2057" width="10.44140625" style="44" customWidth="1"/>
    <col min="2058" max="2058" width="10" style="44" customWidth="1"/>
    <col min="2059" max="2059" width="11" style="44" customWidth="1"/>
    <col min="2060" max="2061" width="9.88671875" style="44" customWidth="1"/>
    <col min="2062" max="2062" width="8.88671875" style="44" customWidth="1"/>
    <col min="2063" max="2066" width="7.6640625" style="44"/>
    <col min="2067" max="2067" width="10.5546875" style="44" customWidth="1"/>
    <col min="2068" max="2068" width="11.6640625" style="44" customWidth="1"/>
    <col min="2069" max="2069" width="11.109375" style="44" customWidth="1"/>
    <col min="2070" max="2070" width="9.44140625" style="44" customWidth="1"/>
    <col min="2071" max="2071" width="10.6640625" style="44" customWidth="1"/>
    <col min="2072" max="2072" width="10.33203125" style="44" customWidth="1"/>
    <col min="2073" max="2073" width="12.33203125" style="44" bestFit="1" customWidth="1"/>
    <col min="2074" max="2074" width="10.44140625" style="44" customWidth="1"/>
    <col min="2075" max="2075" width="7.6640625" style="44"/>
    <col min="2076" max="2077" width="10.33203125" style="44" bestFit="1" customWidth="1"/>
    <col min="2078" max="2304" width="7.6640625" style="44"/>
    <col min="2305" max="2305" width="20" style="44" customWidth="1"/>
    <col min="2306" max="2306" width="12.5546875" style="44" customWidth="1"/>
    <col min="2307" max="2307" width="15.109375" style="44" customWidth="1"/>
    <col min="2308" max="2308" width="9.88671875" style="44" customWidth="1"/>
    <col min="2309" max="2309" width="10.109375" style="44" customWidth="1"/>
    <col min="2310" max="2310" width="7.6640625" style="44"/>
    <col min="2311" max="2311" width="9" style="44" customWidth="1"/>
    <col min="2312" max="2312" width="10.5546875" style="44" customWidth="1"/>
    <col min="2313" max="2313" width="10.44140625" style="44" customWidth="1"/>
    <col min="2314" max="2314" width="10" style="44" customWidth="1"/>
    <col min="2315" max="2315" width="11" style="44" customWidth="1"/>
    <col min="2316" max="2317" width="9.88671875" style="44" customWidth="1"/>
    <col min="2318" max="2318" width="8.88671875" style="44" customWidth="1"/>
    <col min="2319" max="2322" width="7.6640625" style="44"/>
    <col min="2323" max="2323" width="10.5546875" style="44" customWidth="1"/>
    <col min="2324" max="2324" width="11.6640625" style="44" customWidth="1"/>
    <col min="2325" max="2325" width="11.109375" style="44" customWidth="1"/>
    <col min="2326" max="2326" width="9.44140625" style="44" customWidth="1"/>
    <col min="2327" max="2327" width="10.6640625" style="44" customWidth="1"/>
    <col min="2328" max="2328" width="10.33203125" style="44" customWidth="1"/>
    <col min="2329" max="2329" width="12.33203125" style="44" bestFit="1" customWidth="1"/>
    <col min="2330" max="2330" width="10.44140625" style="44" customWidth="1"/>
    <col min="2331" max="2331" width="7.6640625" style="44"/>
    <col min="2332" max="2333" width="10.33203125" style="44" bestFit="1" customWidth="1"/>
    <col min="2334" max="2560" width="7.6640625" style="44"/>
    <col min="2561" max="2561" width="20" style="44" customWidth="1"/>
    <col min="2562" max="2562" width="12.5546875" style="44" customWidth="1"/>
    <col min="2563" max="2563" width="15.109375" style="44" customWidth="1"/>
    <col min="2564" max="2564" width="9.88671875" style="44" customWidth="1"/>
    <col min="2565" max="2565" width="10.109375" style="44" customWidth="1"/>
    <col min="2566" max="2566" width="7.6640625" style="44"/>
    <col min="2567" max="2567" width="9" style="44" customWidth="1"/>
    <col min="2568" max="2568" width="10.5546875" style="44" customWidth="1"/>
    <col min="2569" max="2569" width="10.44140625" style="44" customWidth="1"/>
    <col min="2570" max="2570" width="10" style="44" customWidth="1"/>
    <col min="2571" max="2571" width="11" style="44" customWidth="1"/>
    <col min="2572" max="2573" width="9.88671875" style="44" customWidth="1"/>
    <col min="2574" max="2574" width="8.88671875" style="44" customWidth="1"/>
    <col min="2575" max="2578" width="7.6640625" style="44"/>
    <col min="2579" max="2579" width="10.5546875" style="44" customWidth="1"/>
    <col min="2580" max="2580" width="11.6640625" style="44" customWidth="1"/>
    <col min="2581" max="2581" width="11.109375" style="44" customWidth="1"/>
    <col min="2582" max="2582" width="9.44140625" style="44" customWidth="1"/>
    <col min="2583" max="2583" width="10.6640625" style="44" customWidth="1"/>
    <col min="2584" max="2584" width="10.33203125" style="44" customWidth="1"/>
    <col min="2585" max="2585" width="12.33203125" style="44" bestFit="1" customWidth="1"/>
    <col min="2586" max="2586" width="10.44140625" style="44" customWidth="1"/>
    <col min="2587" max="2587" width="7.6640625" style="44"/>
    <col min="2588" max="2589" width="10.33203125" style="44" bestFit="1" customWidth="1"/>
    <col min="2590" max="2816" width="7.6640625" style="44"/>
    <col min="2817" max="2817" width="20" style="44" customWidth="1"/>
    <col min="2818" max="2818" width="12.5546875" style="44" customWidth="1"/>
    <col min="2819" max="2819" width="15.109375" style="44" customWidth="1"/>
    <col min="2820" max="2820" width="9.88671875" style="44" customWidth="1"/>
    <col min="2821" max="2821" width="10.109375" style="44" customWidth="1"/>
    <col min="2822" max="2822" width="7.6640625" style="44"/>
    <col min="2823" max="2823" width="9" style="44" customWidth="1"/>
    <col min="2824" max="2824" width="10.5546875" style="44" customWidth="1"/>
    <col min="2825" max="2825" width="10.44140625" style="44" customWidth="1"/>
    <col min="2826" max="2826" width="10" style="44" customWidth="1"/>
    <col min="2827" max="2827" width="11" style="44" customWidth="1"/>
    <col min="2828" max="2829" width="9.88671875" style="44" customWidth="1"/>
    <col min="2830" max="2830" width="8.88671875" style="44" customWidth="1"/>
    <col min="2831" max="2834" width="7.6640625" style="44"/>
    <col min="2835" max="2835" width="10.5546875" style="44" customWidth="1"/>
    <col min="2836" max="2836" width="11.6640625" style="44" customWidth="1"/>
    <col min="2837" max="2837" width="11.109375" style="44" customWidth="1"/>
    <col min="2838" max="2838" width="9.44140625" style="44" customWidth="1"/>
    <col min="2839" max="2839" width="10.6640625" style="44" customWidth="1"/>
    <col min="2840" max="2840" width="10.33203125" style="44" customWidth="1"/>
    <col min="2841" max="2841" width="12.33203125" style="44" bestFit="1" customWidth="1"/>
    <col min="2842" max="2842" width="10.44140625" style="44" customWidth="1"/>
    <col min="2843" max="2843" width="7.6640625" style="44"/>
    <col min="2844" max="2845" width="10.33203125" style="44" bestFit="1" customWidth="1"/>
    <col min="2846" max="3072" width="7.6640625" style="44"/>
    <col min="3073" max="3073" width="20" style="44" customWidth="1"/>
    <col min="3074" max="3074" width="12.5546875" style="44" customWidth="1"/>
    <col min="3075" max="3075" width="15.109375" style="44" customWidth="1"/>
    <col min="3076" max="3076" width="9.88671875" style="44" customWidth="1"/>
    <col min="3077" max="3077" width="10.109375" style="44" customWidth="1"/>
    <col min="3078" max="3078" width="7.6640625" style="44"/>
    <col min="3079" max="3079" width="9" style="44" customWidth="1"/>
    <col min="3080" max="3080" width="10.5546875" style="44" customWidth="1"/>
    <col min="3081" max="3081" width="10.44140625" style="44" customWidth="1"/>
    <col min="3082" max="3082" width="10" style="44" customWidth="1"/>
    <col min="3083" max="3083" width="11" style="44" customWidth="1"/>
    <col min="3084" max="3085" width="9.88671875" style="44" customWidth="1"/>
    <col min="3086" max="3086" width="8.88671875" style="44" customWidth="1"/>
    <col min="3087" max="3090" width="7.6640625" style="44"/>
    <col min="3091" max="3091" width="10.5546875" style="44" customWidth="1"/>
    <col min="3092" max="3092" width="11.6640625" style="44" customWidth="1"/>
    <col min="3093" max="3093" width="11.109375" style="44" customWidth="1"/>
    <col min="3094" max="3094" width="9.44140625" style="44" customWidth="1"/>
    <col min="3095" max="3095" width="10.6640625" style="44" customWidth="1"/>
    <col min="3096" max="3096" width="10.33203125" style="44" customWidth="1"/>
    <col min="3097" max="3097" width="12.33203125" style="44" bestFit="1" customWidth="1"/>
    <col min="3098" max="3098" width="10.44140625" style="44" customWidth="1"/>
    <col min="3099" max="3099" width="7.6640625" style="44"/>
    <col min="3100" max="3101" width="10.33203125" style="44" bestFit="1" customWidth="1"/>
    <col min="3102" max="3328" width="7.6640625" style="44"/>
    <col min="3329" max="3329" width="20" style="44" customWidth="1"/>
    <col min="3330" max="3330" width="12.5546875" style="44" customWidth="1"/>
    <col min="3331" max="3331" width="15.109375" style="44" customWidth="1"/>
    <col min="3332" max="3332" width="9.88671875" style="44" customWidth="1"/>
    <col min="3333" max="3333" width="10.109375" style="44" customWidth="1"/>
    <col min="3334" max="3334" width="7.6640625" style="44"/>
    <col min="3335" max="3335" width="9" style="44" customWidth="1"/>
    <col min="3336" max="3336" width="10.5546875" style="44" customWidth="1"/>
    <col min="3337" max="3337" width="10.44140625" style="44" customWidth="1"/>
    <col min="3338" max="3338" width="10" style="44" customWidth="1"/>
    <col min="3339" max="3339" width="11" style="44" customWidth="1"/>
    <col min="3340" max="3341" width="9.88671875" style="44" customWidth="1"/>
    <col min="3342" max="3342" width="8.88671875" style="44" customWidth="1"/>
    <col min="3343" max="3346" width="7.6640625" style="44"/>
    <col min="3347" max="3347" width="10.5546875" style="44" customWidth="1"/>
    <col min="3348" max="3348" width="11.6640625" style="44" customWidth="1"/>
    <col min="3349" max="3349" width="11.109375" style="44" customWidth="1"/>
    <col min="3350" max="3350" width="9.44140625" style="44" customWidth="1"/>
    <col min="3351" max="3351" width="10.6640625" style="44" customWidth="1"/>
    <col min="3352" max="3352" width="10.33203125" style="44" customWidth="1"/>
    <col min="3353" max="3353" width="12.33203125" style="44" bestFit="1" customWidth="1"/>
    <col min="3354" max="3354" width="10.44140625" style="44" customWidth="1"/>
    <col min="3355" max="3355" width="7.6640625" style="44"/>
    <col min="3356" max="3357" width="10.33203125" style="44" bestFit="1" customWidth="1"/>
    <col min="3358" max="3584" width="7.6640625" style="44"/>
    <col min="3585" max="3585" width="20" style="44" customWidth="1"/>
    <col min="3586" max="3586" width="12.5546875" style="44" customWidth="1"/>
    <col min="3587" max="3587" width="15.109375" style="44" customWidth="1"/>
    <col min="3588" max="3588" width="9.88671875" style="44" customWidth="1"/>
    <col min="3589" max="3589" width="10.109375" style="44" customWidth="1"/>
    <col min="3590" max="3590" width="7.6640625" style="44"/>
    <col min="3591" max="3591" width="9" style="44" customWidth="1"/>
    <col min="3592" max="3592" width="10.5546875" style="44" customWidth="1"/>
    <col min="3593" max="3593" width="10.44140625" style="44" customWidth="1"/>
    <col min="3594" max="3594" width="10" style="44" customWidth="1"/>
    <col min="3595" max="3595" width="11" style="44" customWidth="1"/>
    <col min="3596" max="3597" width="9.88671875" style="44" customWidth="1"/>
    <col min="3598" max="3598" width="8.88671875" style="44" customWidth="1"/>
    <col min="3599" max="3602" width="7.6640625" style="44"/>
    <col min="3603" max="3603" width="10.5546875" style="44" customWidth="1"/>
    <col min="3604" max="3604" width="11.6640625" style="44" customWidth="1"/>
    <col min="3605" max="3605" width="11.109375" style="44" customWidth="1"/>
    <col min="3606" max="3606" width="9.44140625" style="44" customWidth="1"/>
    <col min="3607" max="3607" width="10.6640625" style="44" customWidth="1"/>
    <col min="3608" max="3608" width="10.33203125" style="44" customWidth="1"/>
    <col min="3609" max="3609" width="12.33203125" style="44" bestFit="1" customWidth="1"/>
    <col min="3610" max="3610" width="10.44140625" style="44" customWidth="1"/>
    <col min="3611" max="3611" width="7.6640625" style="44"/>
    <col min="3612" max="3613" width="10.33203125" style="44" bestFit="1" customWidth="1"/>
    <col min="3614" max="3840" width="7.6640625" style="44"/>
    <col min="3841" max="3841" width="20" style="44" customWidth="1"/>
    <col min="3842" max="3842" width="12.5546875" style="44" customWidth="1"/>
    <col min="3843" max="3843" width="15.109375" style="44" customWidth="1"/>
    <col min="3844" max="3844" width="9.88671875" style="44" customWidth="1"/>
    <col min="3845" max="3845" width="10.109375" style="44" customWidth="1"/>
    <col min="3846" max="3846" width="7.6640625" style="44"/>
    <col min="3847" max="3847" width="9" style="44" customWidth="1"/>
    <col min="3848" max="3848" width="10.5546875" style="44" customWidth="1"/>
    <col min="3849" max="3849" width="10.44140625" style="44" customWidth="1"/>
    <col min="3850" max="3850" width="10" style="44" customWidth="1"/>
    <col min="3851" max="3851" width="11" style="44" customWidth="1"/>
    <col min="3852" max="3853" width="9.88671875" style="44" customWidth="1"/>
    <col min="3854" max="3854" width="8.88671875" style="44" customWidth="1"/>
    <col min="3855" max="3858" width="7.6640625" style="44"/>
    <col min="3859" max="3859" width="10.5546875" style="44" customWidth="1"/>
    <col min="3860" max="3860" width="11.6640625" style="44" customWidth="1"/>
    <col min="3861" max="3861" width="11.109375" style="44" customWidth="1"/>
    <col min="3862" max="3862" width="9.44140625" style="44" customWidth="1"/>
    <col min="3863" max="3863" width="10.6640625" style="44" customWidth="1"/>
    <col min="3864" max="3864" width="10.33203125" style="44" customWidth="1"/>
    <col min="3865" max="3865" width="12.33203125" style="44" bestFit="1" customWidth="1"/>
    <col min="3866" max="3866" width="10.44140625" style="44" customWidth="1"/>
    <col min="3867" max="3867" width="7.6640625" style="44"/>
    <col min="3868" max="3869" width="10.33203125" style="44" bestFit="1" customWidth="1"/>
    <col min="3870" max="4096" width="7.6640625" style="44"/>
    <col min="4097" max="4097" width="20" style="44" customWidth="1"/>
    <col min="4098" max="4098" width="12.5546875" style="44" customWidth="1"/>
    <col min="4099" max="4099" width="15.109375" style="44" customWidth="1"/>
    <col min="4100" max="4100" width="9.88671875" style="44" customWidth="1"/>
    <col min="4101" max="4101" width="10.109375" style="44" customWidth="1"/>
    <col min="4102" max="4102" width="7.6640625" style="44"/>
    <col min="4103" max="4103" width="9" style="44" customWidth="1"/>
    <col min="4104" max="4104" width="10.5546875" style="44" customWidth="1"/>
    <col min="4105" max="4105" width="10.44140625" style="44" customWidth="1"/>
    <col min="4106" max="4106" width="10" style="44" customWidth="1"/>
    <col min="4107" max="4107" width="11" style="44" customWidth="1"/>
    <col min="4108" max="4109" width="9.88671875" style="44" customWidth="1"/>
    <col min="4110" max="4110" width="8.88671875" style="44" customWidth="1"/>
    <col min="4111" max="4114" width="7.6640625" style="44"/>
    <col min="4115" max="4115" width="10.5546875" style="44" customWidth="1"/>
    <col min="4116" max="4116" width="11.6640625" style="44" customWidth="1"/>
    <col min="4117" max="4117" width="11.109375" style="44" customWidth="1"/>
    <col min="4118" max="4118" width="9.44140625" style="44" customWidth="1"/>
    <col min="4119" max="4119" width="10.6640625" style="44" customWidth="1"/>
    <col min="4120" max="4120" width="10.33203125" style="44" customWidth="1"/>
    <col min="4121" max="4121" width="12.33203125" style="44" bestFit="1" customWidth="1"/>
    <col min="4122" max="4122" width="10.44140625" style="44" customWidth="1"/>
    <col min="4123" max="4123" width="7.6640625" style="44"/>
    <col min="4124" max="4125" width="10.33203125" style="44" bestFit="1" customWidth="1"/>
    <col min="4126" max="4352" width="7.6640625" style="44"/>
    <col min="4353" max="4353" width="20" style="44" customWidth="1"/>
    <col min="4354" max="4354" width="12.5546875" style="44" customWidth="1"/>
    <col min="4355" max="4355" width="15.109375" style="44" customWidth="1"/>
    <col min="4356" max="4356" width="9.88671875" style="44" customWidth="1"/>
    <col min="4357" max="4357" width="10.109375" style="44" customWidth="1"/>
    <col min="4358" max="4358" width="7.6640625" style="44"/>
    <col min="4359" max="4359" width="9" style="44" customWidth="1"/>
    <col min="4360" max="4360" width="10.5546875" style="44" customWidth="1"/>
    <col min="4361" max="4361" width="10.44140625" style="44" customWidth="1"/>
    <col min="4362" max="4362" width="10" style="44" customWidth="1"/>
    <col min="4363" max="4363" width="11" style="44" customWidth="1"/>
    <col min="4364" max="4365" width="9.88671875" style="44" customWidth="1"/>
    <col min="4366" max="4366" width="8.88671875" style="44" customWidth="1"/>
    <col min="4367" max="4370" width="7.6640625" style="44"/>
    <col min="4371" max="4371" width="10.5546875" style="44" customWidth="1"/>
    <col min="4372" max="4372" width="11.6640625" style="44" customWidth="1"/>
    <col min="4373" max="4373" width="11.109375" style="44" customWidth="1"/>
    <col min="4374" max="4374" width="9.44140625" style="44" customWidth="1"/>
    <col min="4375" max="4375" width="10.6640625" style="44" customWidth="1"/>
    <col min="4376" max="4376" width="10.33203125" style="44" customWidth="1"/>
    <col min="4377" max="4377" width="12.33203125" style="44" bestFit="1" customWidth="1"/>
    <col min="4378" max="4378" width="10.44140625" style="44" customWidth="1"/>
    <col min="4379" max="4379" width="7.6640625" style="44"/>
    <col min="4380" max="4381" width="10.33203125" style="44" bestFit="1" customWidth="1"/>
    <col min="4382" max="4608" width="7.6640625" style="44"/>
    <col min="4609" max="4609" width="20" style="44" customWidth="1"/>
    <col min="4610" max="4610" width="12.5546875" style="44" customWidth="1"/>
    <col min="4611" max="4611" width="15.109375" style="44" customWidth="1"/>
    <col min="4612" max="4612" width="9.88671875" style="44" customWidth="1"/>
    <col min="4613" max="4613" width="10.109375" style="44" customWidth="1"/>
    <col min="4614" max="4614" width="7.6640625" style="44"/>
    <col min="4615" max="4615" width="9" style="44" customWidth="1"/>
    <col min="4616" max="4616" width="10.5546875" style="44" customWidth="1"/>
    <col min="4617" max="4617" width="10.44140625" style="44" customWidth="1"/>
    <col min="4618" max="4618" width="10" style="44" customWidth="1"/>
    <col min="4619" max="4619" width="11" style="44" customWidth="1"/>
    <col min="4620" max="4621" width="9.88671875" style="44" customWidth="1"/>
    <col min="4622" max="4622" width="8.88671875" style="44" customWidth="1"/>
    <col min="4623" max="4626" width="7.6640625" style="44"/>
    <col min="4627" max="4627" width="10.5546875" style="44" customWidth="1"/>
    <col min="4628" max="4628" width="11.6640625" style="44" customWidth="1"/>
    <col min="4629" max="4629" width="11.109375" style="44" customWidth="1"/>
    <col min="4630" max="4630" width="9.44140625" style="44" customWidth="1"/>
    <col min="4631" max="4631" width="10.6640625" style="44" customWidth="1"/>
    <col min="4632" max="4632" width="10.33203125" style="44" customWidth="1"/>
    <col min="4633" max="4633" width="12.33203125" style="44" bestFit="1" customWidth="1"/>
    <col min="4634" max="4634" width="10.44140625" style="44" customWidth="1"/>
    <col min="4635" max="4635" width="7.6640625" style="44"/>
    <col min="4636" max="4637" width="10.33203125" style="44" bestFit="1" customWidth="1"/>
    <col min="4638" max="4864" width="7.6640625" style="44"/>
    <col min="4865" max="4865" width="20" style="44" customWidth="1"/>
    <col min="4866" max="4866" width="12.5546875" style="44" customWidth="1"/>
    <col min="4867" max="4867" width="15.109375" style="44" customWidth="1"/>
    <col min="4868" max="4868" width="9.88671875" style="44" customWidth="1"/>
    <col min="4869" max="4869" width="10.109375" style="44" customWidth="1"/>
    <col min="4870" max="4870" width="7.6640625" style="44"/>
    <col min="4871" max="4871" width="9" style="44" customWidth="1"/>
    <col min="4872" max="4872" width="10.5546875" style="44" customWidth="1"/>
    <col min="4873" max="4873" width="10.44140625" style="44" customWidth="1"/>
    <col min="4874" max="4874" width="10" style="44" customWidth="1"/>
    <col min="4875" max="4875" width="11" style="44" customWidth="1"/>
    <col min="4876" max="4877" width="9.88671875" style="44" customWidth="1"/>
    <col min="4878" max="4878" width="8.88671875" style="44" customWidth="1"/>
    <col min="4879" max="4882" width="7.6640625" style="44"/>
    <col min="4883" max="4883" width="10.5546875" style="44" customWidth="1"/>
    <col min="4884" max="4884" width="11.6640625" style="44" customWidth="1"/>
    <col min="4885" max="4885" width="11.109375" style="44" customWidth="1"/>
    <col min="4886" max="4886" width="9.44140625" style="44" customWidth="1"/>
    <col min="4887" max="4887" width="10.6640625" style="44" customWidth="1"/>
    <col min="4888" max="4888" width="10.33203125" style="44" customWidth="1"/>
    <col min="4889" max="4889" width="12.33203125" style="44" bestFit="1" customWidth="1"/>
    <col min="4890" max="4890" width="10.44140625" style="44" customWidth="1"/>
    <col min="4891" max="4891" width="7.6640625" style="44"/>
    <col min="4892" max="4893" width="10.33203125" style="44" bestFit="1" customWidth="1"/>
    <col min="4894" max="5120" width="7.6640625" style="44"/>
    <col min="5121" max="5121" width="20" style="44" customWidth="1"/>
    <col min="5122" max="5122" width="12.5546875" style="44" customWidth="1"/>
    <col min="5123" max="5123" width="15.109375" style="44" customWidth="1"/>
    <col min="5124" max="5124" width="9.88671875" style="44" customWidth="1"/>
    <col min="5125" max="5125" width="10.109375" style="44" customWidth="1"/>
    <col min="5126" max="5126" width="7.6640625" style="44"/>
    <col min="5127" max="5127" width="9" style="44" customWidth="1"/>
    <col min="5128" max="5128" width="10.5546875" style="44" customWidth="1"/>
    <col min="5129" max="5129" width="10.44140625" style="44" customWidth="1"/>
    <col min="5130" max="5130" width="10" style="44" customWidth="1"/>
    <col min="5131" max="5131" width="11" style="44" customWidth="1"/>
    <col min="5132" max="5133" width="9.88671875" style="44" customWidth="1"/>
    <col min="5134" max="5134" width="8.88671875" style="44" customWidth="1"/>
    <col min="5135" max="5138" width="7.6640625" style="44"/>
    <col min="5139" max="5139" width="10.5546875" style="44" customWidth="1"/>
    <col min="5140" max="5140" width="11.6640625" style="44" customWidth="1"/>
    <col min="5141" max="5141" width="11.109375" style="44" customWidth="1"/>
    <col min="5142" max="5142" width="9.44140625" style="44" customWidth="1"/>
    <col min="5143" max="5143" width="10.6640625" style="44" customWidth="1"/>
    <col min="5144" max="5144" width="10.33203125" style="44" customWidth="1"/>
    <col min="5145" max="5145" width="12.33203125" style="44" bestFit="1" customWidth="1"/>
    <col min="5146" max="5146" width="10.44140625" style="44" customWidth="1"/>
    <col min="5147" max="5147" width="7.6640625" style="44"/>
    <col min="5148" max="5149" width="10.33203125" style="44" bestFit="1" customWidth="1"/>
    <col min="5150" max="5376" width="7.6640625" style="44"/>
    <col min="5377" max="5377" width="20" style="44" customWidth="1"/>
    <col min="5378" max="5378" width="12.5546875" style="44" customWidth="1"/>
    <col min="5379" max="5379" width="15.109375" style="44" customWidth="1"/>
    <col min="5380" max="5380" width="9.88671875" style="44" customWidth="1"/>
    <col min="5381" max="5381" width="10.109375" style="44" customWidth="1"/>
    <col min="5382" max="5382" width="7.6640625" style="44"/>
    <col min="5383" max="5383" width="9" style="44" customWidth="1"/>
    <col min="5384" max="5384" width="10.5546875" style="44" customWidth="1"/>
    <col min="5385" max="5385" width="10.44140625" style="44" customWidth="1"/>
    <col min="5386" max="5386" width="10" style="44" customWidth="1"/>
    <col min="5387" max="5387" width="11" style="44" customWidth="1"/>
    <col min="5388" max="5389" width="9.88671875" style="44" customWidth="1"/>
    <col min="5390" max="5390" width="8.88671875" style="44" customWidth="1"/>
    <col min="5391" max="5394" width="7.6640625" style="44"/>
    <col min="5395" max="5395" width="10.5546875" style="44" customWidth="1"/>
    <col min="5396" max="5396" width="11.6640625" style="44" customWidth="1"/>
    <col min="5397" max="5397" width="11.109375" style="44" customWidth="1"/>
    <col min="5398" max="5398" width="9.44140625" style="44" customWidth="1"/>
    <col min="5399" max="5399" width="10.6640625" style="44" customWidth="1"/>
    <col min="5400" max="5400" width="10.33203125" style="44" customWidth="1"/>
    <col min="5401" max="5401" width="12.33203125" style="44" bestFit="1" customWidth="1"/>
    <col min="5402" max="5402" width="10.44140625" style="44" customWidth="1"/>
    <col min="5403" max="5403" width="7.6640625" style="44"/>
    <col min="5404" max="5405" width="10.33203125" style="44" bestFit="1" customWidth="1"/>
    <col min="5406" max="5632" width="7.6640625" style="44"/>
    <col min="5633" max="5633" width="20" style="44" customWidth="1"/>
    <col min="5634" max="5634" width="12.5546875" style="44" customWidth="1"/>
    <col min="5635" max="5635" width="15.109375" style="44" customWidth="1"/>
    <col min="5636" max="5636" width="9.88671875" style="44" customWidth="1"/>
    <col min="5637" max="5637" width="10.109375" style="44" customWidth="1"/>
    <col min="5638" max="5638" width="7.6640625" style="44"/>
    <col min="5639" max="5639" width="9" style="44" customWidth="1"/>
    <col min="5640" max="5640" width="10.5546875" style="44" customWidth="1"/>
    <col min="5641" max="5641" width="10.44140625" style="44" customWidth="1"/>
    <col min="5642" max="5642" width="10" style="44" customWidth="1"/>
    <col min="5643" max="5643" width="11" style="44" customWidth="1"/>
    <col min="5644" max="5645" width="9.88671875" style="44" customWidth="1"/>
    <col min="5646" max="5646" width="8.88671875" style="44" customWidth="1"/>
    <col min="5647" max="5650" width="7.6640625" style="44"/>
    <col min="5651" max="5651" width="10.5546875" style="44" customWidth="1"/>
    <col min="5652" max="5652" width="11.6640625" style="44" customWidth="1"/>
    <col min="5653" max="5653" width="11.109375" style="44" customWidth="1"/>
    <col min="5654" max="5654" width="9.44140625" style="44" customWidth="1"/>
    <col min="5655" max="5655" width="10.6640625" style="44" customWidth="1"/>
    <col min="5656" max="5656" width="10.33203125" style="44" customWidth="1"/>
    <col min="5657" max="5657" width="12.33203125" style="44" bestFit="1" customWidth="1"/>
    <col min="5658" max="5658" width="10.44140625" style="44" customWidth="1"/>
    <col min="5659" max="5659" width="7.6640625" style="44"/>
    <col min="5660" max="5661" width="10.33203125" style="44" bestFit="1" customWidth="1"/>
    <col min="5662" max="5888" width="7.6640625" style="44"/>
    <col min="5889" max="5889" width="20" style="44" customWidth="1"/>
    <col min="5890" max="5890" width="12.5546875" style="44" customWidth="1"/>
    <col min="5891" max="5891" width="15.109375" style="44" customWidth="1"/>
    <col min="5892" max="5892" width="9.88671875" style="44" customWidth="1"/>
    <col min="5893" max="5893" width="10.109375" style="44" customWidth="1"/>
    <col min="5894" max="5894" width="7.6640625" style="44"/>
    <col min="5895" max="5895" width="9" style="44" customWidth="1"/>
    <col min="5896" max="5896" width="10.5546875" style="44" customWidth="1"/>
    <col min="5897" max="5897" width="10.44140625" style="44" customWidth="1"/>
    <col min="5898" max="5898" width="10" style="44" customWidth="1"/>
    <col min="5899" max="5899" width="11" style="44" customWidth="1"/>
    <col min="5900" max="5901" width="9.88671875" style="44" customWidth="1"/>
    <col min="5902" max="5902" width="8.88671875" style="44" customWidth="1"/>
    <col min="5903" max="5906" width="7.6640625" style="44"/>
    <col min="5907" max="5907" width="10.5546875" style="44" customWidth="1"/>
    <col min="5908" max="5908" width="11.6640625" style="44" customWidth="1"/>
    <col min="5909" max="5909" width="11.109375" style="44" customWidth="1"/>
    <col min="5910" max="5910" width="9.44140625" style="44" customWidth="1"/>
    <col min="5911" max="5911" width="10.6640625" style="44" customWidth="1"/>
    <col min="5912" max="5912" width="10.33203125" style="44" customWidth="1"/>
    <col min="5913" max="5913" width="12.33203125" style="44" bestFit="1" customWidth="1"/>
    <col min="5914" max="5914" width="10.44140625" style="44" customWidth="1"/>
    <col min="5915" max="5915" width="7.6640625" style="44"/>
    <col min="5916" max="5917" width="10.33203125" style="44" bestFit="1" customWidth="1"/>
    <col min="5918" max="6144" width="7.6640625" style="44"/>
    <col min="6145" max="6145" width="20" style="44" customWidth="1"/>
    <col min="6146" max="6146" width="12.5546875" style="44" customWidth="1"/>
    <col min="6147" max="6147" width="15.109375" style="44" customWidth="1"/>
    <col min="6148" max="6148" width="9.88671875" style="44" customWidth="1"/>
    <col min="6149" max="6149" width="10.109375" style="44" customWidth="1"/>
    <col min="6150" max="6150" width="7.6640625" style="44"/>
    <col min="6151" max="6151" width="9" style="44" customWidth="1"/>
    <col min="6152" max="6152" width="10.5546875" style="44" customWidth="1"/>
    <col min="6153" max="6153" width="10.44140625" style="44" customWidth="1"/>
    <col min="6154" max="6154" width="10" style="44" customWidth="1"/>
    <col min="6155" max="6155" width="11" style="44" customWidth="1"/>
    <col min="6156" max="6157" width="9.88671875" style="44" customWidth="1"/>
    <col min="6158" max="6158" width="8.88671875" style="44" customWidth="1"/>
    <col min="6159" max="6162" width="7.6640625" style="44"/>
    <col min="6163" max="6163" width="10.5546875" style="44" customWidth="1"/>
    <col min="6164" max="6164" width="11.6640625" style="44" customWidth="1"/>
    <col min="6165" max="6165" width="11.109375" style="44" customWidth="1"/>
    <col min="6166" max="6166" width="9.44140625" style="44" customWidth="1"/>
    <col min="6167" max="6167" width="10.6640625" style="44" customWidth="1"/>
    <col min="6168" max="6168" width="10.33203125" style="44" customWidth="1"/>
    <col min="6169" max="6169" width="12.33203125" style="44" bestFit="1" customWidth="1"/>
    <col min="6170" max="6170" width="10.44140625" style="44" customWidth="1"/>
    <col min="6171" max="6171" width="7.6640625" style="44"/>
    <col min="6172" max="6173" width="10.33203125" style="44" bestFit="1" customWidth="1"/>
    <col min="6174" max="6400" width="7.6640625" style="44"/>
    <col min="6401" max="6401" width="20" style="44" customWidth="1"/>
    <col min="6402" max="6402" width="12.5546875" style="44" customWidth="1"/>
    <col min="6403" max="6403" width="15.109375" style="44" customWidth="1"/>
    <col min="6404" max="6404" width="9.88671875" style="44" customWidth="1"/>
    <col min="6405" max="6405" width="10.109375" style="44" customWidth="1"/>
    <col min="6406" max="6406" width="7.6640625" style="44"/>
    <col min="6407" max="6407" width="9" style="44" customWidth="1"/>
    <col min="6408" max="6408" width="10.5546875" style="44" customWidth="1"/>
    <col min="6409" max="6409" width="10.44140625" style="44" customWidth="1"/>
    <col min="6410" max="6410" width="10" style="44" customWidth="1"/>
    <col min="6411" max="6411" width="11" style="44" customWidth="1"/>
    <col min="6412" max="6413" width="9.88671875" style="44" customWidth="1"/>
    <col min="6414" max="6414" width="8.88671875" style="44" customWidth="1"/>
    <col min="6415" max="6418" width="7.6640625" style="44"/>
    <col min="6419" max="6419" width="10.5546875" style="44" customWidth="1"/>
    <col min="6420" max="6420" width="11.6640625" style="44" customWidth="1"/>
    <col min="6421" max="6421" width="11.109375" style="44" customWidth="1"/>
    <col min="6422" max="6422" width="9.44140625" style="44" customWidth="1"/>
    <col min="6423" max="6423" width="10.6640625" style="44" customWidth="1"/>
    <col min="6424" max="6424" width="10.33203125" style="44" customWidth="1"/>
    <col min="6425" max="6425" width="12.33203125" style="44" bestFit="1" customWidth="1"/>
    <col min="6426" max="6426" width="10.44140625" style="44" customWidth="1"/>
    <col min="6427" max="6427" width="7.6640625" style="44"/>
    <col min="6428" max="6429" width="10.33203125" style="44" bestFit="1" customWidth="1"/>
    <col min="6430" max="6656" width="7.6640625" style="44"/>
    <col min="6657" max="6657" width="20" style="44" customWidth="1"/>
    <col min="6658" max="6658" width="12.5546875" style="44" customWidth="1"/>
    <col min="6659" max="6659" width="15.109375" style="44" customWidth="1"/>
    <col min="6660" max="6660" width="9.88671875" style="44" customWidth="1"/>
    <col min="6661" max="6661" width="10.109375" style="44" customWidth="1"/>
    <col min="6662" max="6662" width="7.6640625" style="44"/>
    <col min="6663" max="6663" width="9" style="44" customWidth="1"/>
    <col min="6664" max="6664" width="10.5546875" style="44" customWidth="1"/>
    <col min="6665" max="6665" width="10.44140625" style="44" customWidth="1"/>
    <col min="6666" max="6666" width="10" style="44" customWidth="1"/>
    <col min="6667" max="6667" width="11" style="44" customWidth="1"/>
    <col min="6668" max="6669" width="9.88671875" style="44" customWidth="1"/>
    <col min="6670" max="6670" width="8.88671875" style="44" customWidth="1"/>
    <col min="6671" max="6674" width="7.6640625" style="44"/>
    <col min="6675" max="6675" width="10.5546875" style="44" customWidth="1"/>
    <col min="6676" max="6676" width="11.6640625" style="44" customWidth="1"/>
    <col min="6677" max="6677" width="11.109375" style="44" customWidth="1"/>
    <col min="6678" max="6678" width="9.44140625" style="44" customWidth="1"/>
    <col min="6679" max="6679" width="10.6640625" style="44" customWidth="1"/>
    <col min="6680" max="6680" width="10.33203125" style="44" customWidth="1"/>
    <col min="6681" max="6681" width="12.33203125" style="44" bestFit="1" customWidth="1"/>
    <col min="6682" max="6682" width="10.44140625" style="44" customWidth="1"/>
    <col min="6683" max="6683" width="7.6640625" style="44"/>
    <col min="6684" max="6685" width="10.33203125" style="44" bestFit="1" customWidth="1"/>
    <col min="6686" max="6912" width="7.6640625" style="44"/>
    <col min="6913" max="6913" width="20" style="44" customWidth="1"/>
    <col min="6914" max="6914" width="12.5546875" style="44" customWidth="1"/>
    <col min="6915" max="6915" width="15.109375" style="44" customWidth="1"/>
    <col min="6916" max="6916" width="9.88671875" style="44" customWidth="1"/>
    <col min="6917" max="6917" width="10.109375" style="44" customWidth="1"/>
    <col min="6918" max="6918" width="7.6640625" style="44"/>
    <col min="6919" max="6919" width="9" style="44" customWidth="1"/>
    <col min="6920" max="6920" width="10.5546875" style="44" customWidth="1"/>
    <col min="6921" max="6921" width="10.44140625" style="44" customWidth="1"/>
    <col min="6922" max="6922" width="10" style="44" customWidth="1"/>
    <col min="6923" max="6923" width="11" style="44" customWidth="1"/>
    <col min="6924" max="6925" width="9.88671875" style="44" customWidth="1"/>
    <col min="6926" max="6926" width="8.88671875" style="44" customWidth="1"/>
    <col min="6927" max="6930" width="7.6640625" style="44"/>
    <col min="6931" max="6931" width="10.5546875" style="44" customWidth="1"/>
    <col min="6932" max="6932" width="11.6640625" style="44" customWidth="1"/>
    <col min="6933" max="6933" width="11.109375" style="44" customWidth="1"/>
    <col min="6934" max="6934" width="9.44140625" style="44" customWidth="1"/>
    <col min="6935" max="6935" width="10.6640625" style="44" customWidth="1"/>
    <col min="6936" max="6936" width="10.33203125" style="44" customWidth="1"/>
    <col min="6937" max="6937" width="12.33203125" style="44" bestFit="1" customWidth="1"/>
    <col min="6938" max="6938" width="10.44140625" style="44" customWidth="1"/>
    <col min="6939" max="6939" width="7.6640625" style="44"/>
    <col min="6940" max="6941" width="10.33203125" style="44" bestFit="1" customWidth="1"/>
    <col min="6942" max="7168" width="7.6640625" style="44"/>
    <col min="7169" max="7169" width="20" style="44" customWidth="1"/>
    <col min="7170" max="7170" width="12.5546875" style="44" customWidth="1"/>
    <col min="7171" max="7171" width="15.109375" style="44" customWidth="1"/>
    <col min="7172" max="7172" width="9.88671875" style="44" customWidth="1"/>
    <col min="7173" max="7173" width="10.109375" style="44" customWidth="1"/>
    <col min="7174" max="7174" width="7.6640625" style="44"/>
    <col min="7175" max="7175" width="9" style="44" customWidth="1"/>
    <col min="7176" max="7176" width="10.5546875" style="44" customWidth="1"/>
    <col min="7177" max="7177" width="10.44140625" style="44" customWidth="1"/>
    <col min="7178" max="7178" width="10" style="44" customWidth="1"/>
    <col min="7179" max="7179" width="11" style="44" customWidth="1"/>
    <col min="7180" max="7181" width="9.88671875" style="44" customWidth="1"/>
    <col min="7182" max="7182" width="8.88671875" style="44" customWidth="1"/>
    <col min="7183" max="7186" width="7.6640625" style="44"/>
    <col min="7187" max="7187" width="10.5546875" style="44" customWidth="1"/>
    <col min="7188" max="7188" width="11.6640625" style="44" customWidth="1"/>
    <col min="7189" max="7189" width="11.109375" style="44" customWidth="1"/>
    <col min="7190" max="7190" width="9.44140625" style="44" customWidth="1"/>
    <col min="7191" max="7191" width="10.6640625" style="44" customWidth="1"/>
    <col min="7192" max="7192" width="10.33203125" style="44" customWidth="1"/>
    <col min="7193" max="7193" width="12.33203125" style="44" bestFit="1" customWidth="1"/>
    <col min="7194" max="7194" width="10.44140625" style="44" customWidth="1"/>
    <col min="7195" max="7195" width="7.6640625" style="44"/>
    <col min="7196" max="7197" width="10.33203125" style="44" bestFit="1" customWidth="1"/>
    <col min="7198" max="7424" width="7.6640625" style="44"/>
    <col min="7425" max="7425" width="20" style="44" customWidth="1"/>
    <col min="7426" max="7426" width="12.5546875" style="44" customWidth="1"/>
    <col min="7427" max="7427" width="15.109375" style="44" customWidth="1"/>
    <col min="7428" max="7428" width="9.88671875" style="44" customWidth="1"/>
    <col min="7429" max="7429" width="10.109375" style="44" customWidth="1"/>
    <col min="7430" max="7430" width="7.6640625" style="44"/>
    <col min="7431" max="7431" width="9" style="44" customWidth="1"/>
    <col min="7432" max="7432" width="10.5546875" style="44" customWidth="1"/>
    <col min="7433" max="7433" width="10.44140625" style="44" customWidth="1"/>
    <col min="7434" max="7434" width="10" style="44" customWidth="1"/>
    <col min="7435" max="7435" width="11" style="44" customWidth="1"/>
    <col min="7436" max="7437" width="9.88671875" style="44" customWidth="1"/>
    <col min="7438" max="7438" width="8.88671875" style="44" customWidth="1"/>
    <col min="7439" max="7442" width="7.6640625" style="44"/>
    <col min="7443" max="7443" width="10.5546875" style="44" customWidth="1"/>
    <col min="7444" max="7444" width="11.6640625" style="44" customWidth="1"/>
    <col min="7445" max="7445" width="11.109375" style="44" customWidth="1"/>
    <col min="7446" max="7446" width="9.44140625" style="44" customWidth="1"/>
    <col min="7447" max="7447" width="10.6640625" style="44" customWidth="1"/>
    <col min="7448" max="7448" width="10.33203125" style="44" customWidth="1"/>
    <col min="7449" max="7449" width="12.33203125" style="44" bestFit="1" customWidth="1"/>
    <col min="7450" max="7450" width="10.44140625" style="44" customWidth="1"/>
    <col min="7451" max="7451" width="7.6640625" style="44"/>
    <col min="7452" max="7453" width="10.33203125" style="44" bestFit="1" customWidth="1"/>
    <col min="7454" max="7680" width="7.6640625" style="44"/>
    <col min="7681" max="7681" width="20" style="44" customWidth="1"/>
    <col min="7682" max="7682" width="12.5546875" style="44" customWidth="1"/>
    <col min="7683" max="7683" width="15.109375" style="44" customWidth="1"/>
    <col min="7684" max="7684" width="9.88671875" style="44" customWidth="1"/>
    <col min="7685" max="7685" width="10.109375" style="44" customWidth="1"/>
    <col min="7686" max="7686" width="7.6640625" style="44"/>
    <col min="7687" max="7687" width="9" style="44" customWidth="1"/>
    <col min="7688" max="7688" width="10.5546875" style="44" customWidth="1"/>
    <col min="7689" max="7689" width="10.44140625" style="44" customWidth="1"/>
    <col min="7690" max="7690" width="10" style="44" customWidth="1"/>
    <col min="7691" max="7691" width="11" style="44" customWidth="1"/>
    <col min="7692" max="7693" width="9.88671875" style="44" customWidth="1"/>
    <col min="7694" max="7694" width="8.88671875" style="44" customWidth="1"/>
    <col min="7695" max="7698" width="7.6640625" style="44"/>
    <col min="7699" max="7699" width="10.5546875" style="44" customWidth="1"/>
    <col min="7700" max="7700" width="11.6640625" style="44" customWidth="1"/>
    <col min="7701" max="7701" width="11.109375" style="44" customWidth="1"/>
    <col min="7702" max="7702" width="9.44140625" style="44" customWidth="1"/>
    <col min="7703" max="7703" width="10.6640625" style="44" customWidth="1"/>
    <col min="7704" max="7704" width="10.33203125" style="44" customWidth="1"/>
    <col min="7705" max="7705" width="12.33203125" style="44" bestFit="1" customWidth="1"/>
    <col min="7706" max="7706" width="10.44140625" style="44" customWidth="1"/>
    <col min="7707" max="7707" width="7.6640625" style="44"/>
    <col min="7708" max="7709" width="10.33203125" style="44" bestFit="1" customWidth="1"/>
    <col min="7710" max="7936" width="7.6640625" style="44"/>
    <col min="7937" max="7937" width="20" style="44" customWidth="1"/>
    <col min="7938" max="7938" width="12.5546875" style="44" customWidth="1"/>
    <col min="7939" max="7939" width="15.109375" style="44" customWidth="1"/>
    <col min="7940" max="7940" width="9.88671875" style="44" customWidth="1"/>
    <col min="7941" max="7941" width="10.109375" style="44" customWidth="1"/>
    <col min="7942" max="7942" width="7.6640625" style="44"/>
    <col min="7943" max="7943" width="9" style="44" customWidth="1"/>
    <col min="7944" max="7944" width="10.5546875" style="44" customWidth="1"/>
    <col min="7945" max="7945" width="10.44140625" style="44" customWidth="1"/>
    <col min="7946" max="7946" width="10" style="44" customWidth="1"/>
    <col min="7947" max="7947" width="11" style="44" customWidth="1"/>
    <col min="7948" max="7949" width="9.88671875" style="44" customWidth="1"/>
    <col min="7950" max="7950" width="8.88671875" style="44" customWidth="1"/>
    <col min="7951" max="7954" width="7.6640625" style="44"/>
    <col min="7955" max="7955" width="10.5546875" style="44" customWidth="1"/>
    <col min="7956" max="7956" width="11.6640625" style="44" customWidth="1"/>
    <col min="7957" max="7957" width="11.109375" style="44" customWidth="1"/>
    <col min="7958" max="7958" width="9.44140625" style="44" customWidth="1"/>
    <col min="7959" max="7959" width="10.6640625" style="44" customWidth="1"/>
    <col min="7960" max="7960" width="10.33203125" style="44" customWidth="1"/>
    <col min="7961" max="7961" width="12.33203125" style="44" bestFit="1" customWidth="1"/>
    <col min="7962" max="7962" width="10.44140625" style="44" customWidth="1"/>
    <col min="7963" max="7963" width="7.6640625" style="44"/>
    <col min="7964" max="7965" width="10.33203125" style="44" bestFit="1" customWidth="1"/>
    <col min="7966" max="8192" width="7.6640625" style="44"/>
    <col min="8193" max="8193" width="20" style="44" customWidth="1"/>
    <col min="8194" max="8194" width="12.5546875" style="44" customWidth="1"/>
    <col min="8195" max="8195" width="15.109375" style="44" customWidth="1"/>
    <col min="8196" max="8196" width="9.88671875" style="44" customWidth="1"/>
    <col min="8197" max="8197" width="10.109375" style="44" customWidth="1"/>
    <col min="8198" max="8198" width="7.6640625" style="44"/>
    <col min="8199" max="8199" width="9" style="44" customWidth="1"/>
    <col min="8200" max="8200" width="10.5546875" style="44" customWidth="1"/>
    <col min="8201" max="8201" width="10.44140625" style="44" customWidth="1"/>
    <col min="8202" max="8202" width="10" style="44" customWidth="1"/>
    <col min="8203" max="8203" width="11" style="44" customWidth="1"/>
    <col min="8204" max="8205" width="9.88671875" style="44" customWidth="1"/>
    <col min="8206" max="8206" width="8.88671875" style="44" customWidth="1"/>
    <col min="8207" max="8210" width="7.6640625" style="44"/>
    <col min="8211" max="8211" width="10.5546875" style="44" customWidth="1"/>
    <col min="8212" max="8212" width="11.6640625" style="44" customWidth="1"/>
    <col min="8213" max="8213" width="11.109375" style="44" customWidth="1"/>
    <col min="8214" max="8214" width="9.44140625" style="44" customWidth="1"/>
    <col min="8215" max="8215" width="10.6640625" style="44" customWidth="1"/>
    <col min="8216" max="8216" width="10.33203125" style="44" customWidth="1"/>
    <col min="8217" max="8217" width="12.33203125" style="44" bestFit="1" customWidth="1"/>
    <col min="8218" max="8218" width="10.44140625" style="44" customWidth="1"/>
    <col min="8219" max="8219" width="7.6640625" style="44"/>
    <col min="8220" max="8221" width="10.33203125" style="44" bestFit="1" customWidth="1"/>
    <col min="8222" max="8448" width="7.6640625" style="44"/>
    <col min="8449" max="8449" width="20" style="44" customWidth="1"/>
    <col min="8450" max="8450" width="12.5546875" style="44" customWidth="1"/>
    <col min="8451" max="8451" width="15.109375" style="44" customWidth="1"/>
    <col min="8452" max="8452" width="9.88671875" style="44" customWidth="1"/>
    <col min="8453" max="8453" width="10.109375" style="44" customWidth="1"/>
    <col min="8454" max="8454" width="7.6640625" style="44"/>
    <col min="8455" max="8455" width="9" style="44" customWidth="1"/>
    <col min="8456" max="8456" width="10.5546875" style="44" customWidth="1"/>
    <col min="8457" max="8457" width="10.44140625" style="44" customWidth="1"/>
    <col min="8458" max="8458" width="10" style="44" customWidth="1"/>
    <col min="8459" max="8459" width="11" style="44" customWidth="1"/>
    <col min="8460" max="8461" width="9.88671875" style="44" customWidth="1"/>
    <col min="8462" max="8462" width="8.88671875" style="44" customWidth="1"/>
    <col min="8463" max="8466" width="7.6640625" style="44"/>
    <col min="8467" max="8467" width="10.5546875" style="44" customWidth="1"/>
    <col min="8468" max="8468" width="11.6640625" style="44" customWidth="1"/>
    <col min="8469" max="8469" width="11.109375" style="44" customWidth="1"/>
    <col min="8470" max="8470" width="9.44140625" style="44" customWidth="1"/>
    <col min="8471" max="8471" width="10.6640625" style="44" customWidth="1"/>
    <col min="8472" max="8472" width="10.33203125" style="44" customWidth="1"/>
    <col min="8473" max="8473" width="12.33203125" style="44" bestFit="1" customWidth="1"/>
    <col min="8474" max="8474" width="10.44140625" style="44" customWidth="1"/>
    <col min="8475" max="8475" width="7.6640625" style="44"/>
    <col min="8476" max="8477" width="10.33203125" style="44" bestFit="1" customWidth="1"/>
    <col min="8478" max="8704" width="7.6640625" style="44"/>
    <col min="8705" max="8705" width="20" style="44" customWidth="1"/>
    <col min="8706" max="8706" width="12.5546875" style="44" customWidth="1"/>
    <col min="8707" max="8707" width="15.109375" style="44" customWidth="1"/>
    <col min="8708" max="8708" width="9.88671875" style="44" customWidth="1"/>
    <col min="8709" max="8709" width="10.109375" style="44" customWidth="1"/>
    <col min="8710" max="8710" width="7.6640625" style="44"/>
    <col min="8711" max="8711" width="9" style="44" customWidth="1"/>
    <col min="8712" max="8712" width="10.5546875" style="44" customWidth="1"/>
    <col min="8713" max="8713" width="10.44140625" style="44" customWidth="1"/>
    <col min="8714" max="8714" width="10" style="44" customWidth="1"/>
    <col min="8715" max="8715" width="11" style="44" customWidth="1"/>
    <col min="8716" max="8717" width="9.88671875" style="44" customWidth="1"/>
    <col min="8718" max="8718" width="8.88671875" style="44" customWidth="1"/>
    <col min="8719" max="8722" width="7.6640625" style="44"/>
    <col min="8723" max="8723" width="10.5546875" style="44" customWidth="1"/>
    <col min="8724" max="8724" width="11.6640625" style="44" customWidth="1"/>
    <col min="8725" max="8725" width="11.109375" style="44" customWidth="1"/>
    <col min="8726" max="8726" width="9.44140625" style="44" customWidth="1"/>
    <col min="8727" max="8727" width="10.6640625" style="44" customWidth="1"/>
    <col min="8728" max="8728" width="10.33203125" style="44" customWidth="1"/>
    <col min="8729" max="8729" width="12.33203125" style="44" bestFit="1" customWidth="1"/>
    <col min="8730" max="8730" width="10.44140625" style="44" customWidth="1"/>
    <col min="8731" max="8731" width="7.6640625" style="44"/>
    <col min="8732" max="8733" width="10.33203125" style="44" bestFit="1" customWidth="1"/>
    <col min="8734" max="8960" width="7.6640625" style="44"/>
    <col min="8961" max="8961" width="20" style="44" customWidth="1"/>
    <col min="8962" max="8962" width="12.5546875" style="44" customWidth="1"/>
    <col min="8963" max="8963" width="15.109375" style="44" customWidth="1"/>
    <col min="8964" max="8964" width="9.88671875" style="44" customWidth="1"/>
    <col min="8965" max="8965" width="10.109375" style="44" customWidth="1"/>
    <col min="8966" max="8966" width="7.6640625" style="44"/>
    <col min="8967" max="8967" width="9" style="44" customWidth="1"/>
    <col min="8968" max="8968" width="10.5546875" style="44" customWidth="1"/>
    <col min="8969" max="8969" width="10.44140625" style="44" customWidth="1"/>
    <col min="8970" max="8970" width="10" style="44" customWidth="1"/>
    <col min="8971" max="8971" width="11" style="44" customWidth="1"/>
    <col min="8972" max="8973" width="9.88671875" style="44" customWidth="1"/>
    <col min="8974" max="8974" width="8.88671875" style="44" customWidth="1"/>
    <col min="8975" max="8978" width="7.6640625" style="44"/>
    <col min="8979" max="8979" width="10.5546875" style="44" customWidth="1"/>
    <col min="8980" max="8980" width="11.6640625" style="44" customWidth="1"/>
    <col min="8981" max="8981" width="11.109375" style="44" customWidth="1"/>
    <col min="8982" max="8982" width="9.44140625" style="44" customWidth="1"/>
    <col min="8983" max="8983" width="10.6640625" style="44" customWidth="1"/>
    <col min="8984" max="8984" width="10.33203125" style="44" customWidth="1"/>
    <col min="8985" max="8985" width="12.33203125" style="44" bestFit="1" customWidth="1"/>
    <col min="8986" max="8986" width="10.44140625" style="44" customWidth="1"/>
    <col min="8987" max="8987" width="7.6640625" style="44"/>
    <col min="8988" max="8989" width="10.33203125" style="44" bestFit="1" customWidth="1"/>
    <col min="8990" max="9216" width="7.6640625" style="44"/>
    <col min="9217" max="9217" width="20" style="44" customWidth="1"/>
    <col min="9218" max="9218" width="12.5546875" style="44" customWidth="1"/>
    <col min="9219" max="9219" width="15.109375" style="44" customWidth="1"/>
    <col min="9220" max="9220" width="9.88671875" style="44" customWidth="1"/>
    <col min="9221" max="9221" width="10.109375" style="44" customWidth="1"/>
    <col min="9222" max="9222" width="7.6640625" style="44"/>
    <col min="9223" max="9223" width="9" style="44" customWidth="1"/>
    <col min="9224" max="9224" width="10.5546875" style="44" customWidth="1"/>
    <col min="9225" max="9225" width="10.44140625" style="44" customWidth="1"/>
    <col min="9226" max="9226" width="10" style="44" customWidth="1"/>
    <col min="9227" max="9227" width="11" style="44" customWidth="1"/>
    <col min="9228" max="9229" width="9.88671875" style="44" customWidth="1"/>
    <col min="9230" max="9230" width="8.88671875" style="44" customWidth="1"/>
    <col min="9231" max="9234" width="7.6640625" style="44"/>
    <col min="9235" max="9235" width="10.5546875" style="44" customWidth="1"/>
    <col min="9236" max="9236" width="11.6640625" style="44" customWidth="1"/>
    <col min="9237" max="9237" width="11.109375" style="44" customWidth="1"/>
    <col min="9238" max="9238" width="9.44140625" style="44" customWidth="1"/>
    <col min="9239" max="9239" width="10.6640625" style="44" customWidth="1"/>
    <col min="9240" max="9240" width="10.33203125" style="44" customWidth="1"/>
    <col min="9241" max="9241" width="12.33203125" style="44" bestFit="1" customWidth="1"/>
    <col min="9242" max="9242" width="10.44140625" style="44" customWidth="1"/>
    <col min="9243" max="9243" width="7.6640625" style="44"/>
    <col min="9244" max="9245" width="10.33203125" style="44" bestFit="1" customWidth="1"/>
    <col min="9246" max="9472" width="7.6640625" style="44"/>
    <col min="9473" max="9473" width="20" style="44" customWidth="1"/>
    <col min="9474" max="9474" width="12.5546875" style="44" customWidth="1"/>
    <col min="9475" max="9475" width="15.109375" style="44" customWidth="1"/>
    <col min="9476" max="9476" width="9.88671875" style="44" customWidth="1"/>
    <col min="9477" max="9477" width="10.109375" style="44" customWidth="1"/>
    <col min="9478" max="9478" width="7.6640625" style="44"/>
    <col min="9479" max="9479" width="9" style="44" customWidth="1"/>
    <col min="9480" max="9480" width="10.5546875" style="44" customWidth="1"/>
    <col min="9481" max="9481" width="10.44140625" style="44" customWidth="1"/>
    <col min="9482" max="9482" width="10" style="44" customWidth="1"/>
    <col min="9483" max="9483" width="11" style="44" customWidth="1"/>
    <col min="9484" max="9485" width="9.88671875" style="44" customWidth="1"/>
    <col min="9486" max="9486" width="8.88671875" style="44" customWidth="1"/>
    <col min="9487" max="9490" width="7.6640625" style="44"/>
    <col min="9491" max="9491" width="10.5546875" style="44" customWidth="1"/>
    <col min="9492" max="9492" width="11.6640625" style="44" customWidth="1"/>
    <col min="9493" max="9493" width="11.109375" style="44" customWidth="1"/>
    <col min="9494" max="9494" width="9.44140625" style="44" customWidth="1"/>
    <col min="9495" max="9495" width="10.6640625" style="44" customWidth="1"/>
    <col min="9496" max="9496" width="10.33203125" style="44" customWidth="1"/>
    <col min="9497" max="9497" width="12.33203125" style="44" bestFit="1" customWidth="1"/>
    <col min="9498" max="9498" width="10.44140625" style="44" customWidth="1"/>
    <col min="9499" max="9499" width="7.6640625" style="44"/>
    <col min="9500" max="9501" width="10.33203125" style="44" bestFit="1" customWidth="1"/>
    <col min="9502" max="9728" width="7.6640625" style="44"/>
    <col min="9729" max="9729" width="20" style="44" customWidth="1"/>
    <col min="9730" max="9730" width="12.5546875" style="44" customWidth="1"/>
    <col min="9731" max="9731" width="15.109375" style="44" customWidth="1"/>
    <col min="9732" max="9732" width="9.88671875" style="44" customWidth="1"/>
    <col min="9733" max="9733" width="10.109375" style="44" customWidth="1"/>
    <col min="9734" max="9734" width="7.6640625" style="44"/>
    <col min="9735" max="9735" width="9" style="44" customWidth="1"/>
    <col min="9736" max="9736" width="10.5546875" style="44" customWidth="1"/>
    <col min="9737" max="9737" width="10.44140625" style="44" customWidth="1"/>
    <col min="9738" max="9738" width="10" style="44" customWidth="1"/>
    <col min="9739" max="9739" width="11" style="44" customWidth="1"/>
    <col min="9740" max="9741" width="9.88671875" style="44" customWidth="1"/>
    <col min="9742" max="9742" width="8.88671875" style="44" customWidth="1"/>
    <col min="9743" max="9746" width="7.6640625" style="44"/>
    <col min="9747" max="9747" width="10.5546875" style="44" customWidth="1"/>
    <col min="9748" max="9748" width="11.6640625" style="44" customWidth="1"/>
    <col min="9749" max="9749" width="11.109375" style="44" customWidth="1"/>
    <col min="9750" max="9750" width="9.44140625" style="44" customWidth="1"/>
    <col min="9751" max="9751" width="10.6640625" style="44" customWidth="1"/>
    <col min="9752" max="9752" width="10.33203125" style="44" customWidth="1"/>
    <col min="9753" max="9753" width="12.33203125" style="44" bestFit="1" customWidth="1"/>
    <col min="9754" max="9754" width="10.44140625" style="44" customWidth="1"/>
    <col min="9755" max="9755" width="7.6640625" style="44"/>
    <col min="9756" max="9757" width="10.33203125" style="44" bestFit="1" customWidth="1"/>
    <col min="9758" max="9984" width="7.6640625" style="44"/>
    <col min="9985" max="9985" width="20" style="44" customWidth="1"/>
    <col min="9986" max="9986" width="12.5546875" style="44" customWidth="1"/>
    <col min="9987" max="9987" width="15.109375" style="44" customWidth="1"/>
    <col min="9988" max="9988" width="9.88671875" style="44" customWidth="1"/>
    <col min="9989" max="9989" width="10.109375" style="44" customWidth="1"/>
    <col min="9990" max="9990" width="7.6640625" style="44"/>
    <col min="9991" max="9991" width="9" style="44" customWidth="1"/>
    <col min="9992" max="9992" width="10.5546875" style="44" customWidth="1"/>
    <col min="9993" max="9993" width="10.44140625" style="44" customWidth="1"/>
    <col min="9994" max="9994" width="10" style="44" customWidth="1"/>
    <col min="9995" max="9995" width="11" style="44" customWidth="1"/>
    <col min="9996" max="9997" width="9.88671875" style="44" customWidth="1"/>
    <col min="9998" max="9998" width="8.88671875" style="44" customWidth="1"/>
    <col min="9999" max="10002" width="7.6640625" style="44"/>
    <col min="10003" max="10003" width="10.5546875" style="44" customWidth="1"/>
    <col min="10004" max="10004" width="11.6640625" style="44" customWidth="1"/>
    <col min="10005" max="10005" width="11.109375" style="44" customWidth="1"/>
    <col min="10006" max="10006" width="9.44140625" style="44" customWidth="1"/>
    <col min="10007" max="10007" width="10.6640625" style="44" customWidth="1"/>
    <col min="10008" max="10008" width="10.33203125" style="44" customWidth="1"/>
    <col min="10009" max="10009" width="12.33203125" style="44" bestFit="1" customWidth="1"/>
    <col min="10010" max="10010" width="10.44140625" style="44" customWidth="1"/>
    <col min="10011" max="10011" width="7.6640625" style="44"/>
    <col min="10012" max="10013" width="10.33203125" style="44" bestFit="1" customWidth="1"/>
    <col min="10014" max="10240" width="7.6640625" style="44"/>
    <col min="10241" max="10241" width="20" style="44" customWidth="1"/>
    <col min="10242" max="10242" width="12.5546875" style="44" customWidth="1"/>
    <col min="10243" max="10243" width="15.109375" style="44" customWidth="1"/>
    <col min="10244" max="10244" width="9.88671875" style="44" customWidth="1"/>
    <col min="10245" max="10245" width="10.109375" style="44" customWidth="1"/>
    <col min="10246" max="10246" width="7.6640625" style="44"/>
    <col min="10247" max="10247" width="9" style="44" customWidth="1"/>
    <col min="10248" max="10248" width="10.5546875" style="44" customWidth="1"/>
    <col min="10249" max="10249" width="10.44140625" style="44" customWidth="1"/>
    <col min="10250" max="10250" width="10" style="44" customWidth="1"/>
    <col min="10251" max="10251" width="11" style="44" customWidth="1"/>
    <col min="10252" max="10253" width="9.88671875" style="44" customWidth="1"/>
    <col min="10254" max="10254" width="8.88671875" style="44" customWidth="1"/>
    <col min="10255" max="10258" width="7.6640625" style="44"/>
    <col min="10259" max="10259" width="10.5546875" style="44" customWidth="1"/>
    <col min="10260" max="10260" width="11.6640625" style="44" customWidth="1"/>
    <col min="10261" max="10261" width="11.109375" style="44" customWidth="1"/>
    <col min="10262" max="10262" width="9.44140625" style="44" customWidth="1"/>
    <col min="10263" max="10263" width="10.6640625" style="44" customWidth="1"/>
    <col min="10264" max="10264" width="10.33203125" style="44" customWidth="1"/>
    <col min="10265" max="10265" width="12.33203125" style="44" bestFit="1" customWidth="1"/>
    <col min="10266" max="10266" width="10.44140625" style="44" customWidth="1"/>
    <col min="10267" max="10267" width="7.6640625" style="44"/>
    <col min="10268" max="10269" width="10.33203125" style="44" bestFit="1" customWidth="1"/>
    <col min="10270" max="10496" width="7.6640625" style="44"/>
    <col min="10497" max="10497" width="20" style="44" customWidth="1"/>
    <col min="10498" max="10498" width="12.5546875" style="44" customWidth="1"/>
    <col min="10499" max="10499" width="15.109375" style="44" customWidth="1"/>
    <col min="10500" max="10500" width="9.88671875" style="44" customWidth="1"/>
    <col min="10501" max="10501" width="10.109375" style="44" customWidth="1"/>
    <col min="10502" max="10502" width="7.6640625" style="44"/>
    <col min="10503" max="10503" width="9" style="44" customWidth="1"/>
    <col min="10504" max="10504" width="10.5546875" style="44" customWidth="1"/>
    <col min="10505" max="10505" width="10.44140625" style="44" customWidth="1"/>
    <col min="10506" max="10506" width="10" style="44" customWidth="1"/>
    <col min="10507" max="10507" width="11" style="44" customWidth="1"/>
    <col min="10508" max="10509" width="9.88671875" style="44" customWidth="1"/>
    <col min="10510" max="10510" width="8.88671875" style="44" customWidth="1"/>
    <col min="10511" max="10514" width="7.6640625" style="44"/>
    <col min="10515" max="10515" width="10.5546875" style="44" customWidth="1"/>
    <col min="10516" max="10516" width="11.6640625" style="44" customWidth="1"/>
    <col min="10517" max="10517" width="11.109375" style="44" customWidth="1"/>
    <col min="10518" max="10518" width="9.44140625" style="44" customWidth="1"/>
    <col min="10519" max="10519" width="10.6640625" style="44" customWidth="1"/>
    <col min="10520" max="10520" width="10.33203125" style="44" customWidth="1"/>
    <col min="10521" max="10521" width="12.33203125" style="44" bestFit="1" customWidth="1"/>
    <col min="10522" max="10522" width="10.44140625" style="44" customWidth="1"/>
    <col min="10523" max="10523" width="7.6640625" style="44"/>
    <col min="10524" max="10525" width="10.33203125" style="44" bestFit="1" customWidth="1"/>
    <col min="10526" max="10752" width="7.6640625" style="44"/>
    <col min="10753" max="10753" width="20" style="44" customWidth="1"/>
    <col min="10754" max="10754" width="12.5546875" style="44" customWidth="1"/>
    <col min="10755" max="10755" width="15.109375" style="44" customWidth="1"/>
    <col min="10756" max="10756" width="9.88671875" style="44" customWidth="1"/>
    <col min="10757" max="10757" width="10.109375" style="44" customWidth="1"/>
    <col min="10758" max="10758" width="7.6640625" style="44"/>
    <col min="10759" max="10759" width="9" style="44" customWidth="1"/>
    <col min="10760" max="10760" width="10.5546875" style="44" customWidth="1"/>
    <col min="10761" max="10761" width="10.44140625" style="44" customWidth="1"/>
    <col min="10762" max="10762" width="10" style="44" customWidth="1"/>
    <col min="10763" max="10763" width="11" style="44" customWidth="1"/>
    <col min="10764" max="10765" width="9.88671875" style="44" customWidth="1"/>
    <col min="10766" max="10766" width="8.88671875" style="44" customWidth="1"/>
    <col min="10767" max="10770" width="7.6640625" style="44"/>
    <col min="10771" max="10771" width="10.5546875" style="44" customWidth="1"/>
    <col min="10772" max="10772" width="11.6640625" style="44" customWidth="1"/>
    <col min="10773" max="10773" width="11.109375" style="44" customWidth="1"/>
    <col min="10774" max="10774" width="9.44140625" style="44" customWidth="1"/>
    <col min="10775" max="10775" width="10.6640625" style="44" customWidth="1"/>
    <col min="10776" max="10776" width="10.33203125" style="44" customWidth="1"/>
    <col min="10777" max="10777" width="12.33203125" style="44" bestFit="1" customWidth="1"/>
    <col min="10778" max="10778" width="10.44140625" style="44" customWidth="1"/>
    <col min="10779" max="10779" width="7.6640625" style="44"/>
    <col min="10780" max="10781" width="10.33203125" style="44" bestFit="1" customWidth="1"/>
    <col min="10782" max="11008" width="7.6640625" style="44"/>
    <col min="11009" max="11009" width="20" style="44" customWidth="1"/>
    <col min="11010" max="11010" width="12.5546875" style="44" customWidth="1"/>
    <col min="11011" max="11011" width="15.109375" style="44" customWidth="1"/>
    <col min="11012" max="11012" width="9.88671875" style="44" customWidth="1"/>
    <col min="11013" max="11013" width="10.109375" style="44" customWidth="1"/>
    <col min="11014" max="11014" width="7.6640625" style="44"/>
    <col min="11015" max="11015" width="9" style="44" customWidth="1"/>
    <col min="11016" max="11016" width="10.5546875" style="44" customWidth="1"/>
    <col min="11017" max="11017" width="10.44140625" style="44" customWidth="1"/>
    <col min="11018" max="11018" width="10" style="44" customWidth="1"/>
    <col min="11019" max="11019" width="11" style="44" customWidth="1"/>
    <col min="11020" max="11021" width="9.88671875" style="44" customWidth="1"/>
    <col min="11022" max="11022" width="8.88671875" style="44" customWidth="1"/>
    <col min="11023" max="11026" width="7.6640625" style="44"/>
    <col min="11027" max="11027" width="10.5546875" style="44" customWidth="1"/>
    <col min="11028" max="11028" width="11.6640625" style="44" customWidth="1"/>
    <col min="11029" max="11029" width="11.109375" style="44" customWidth="1"/>
    <col min="11030" max="11030" width="9.44140625" style="44" customWidth="1"/>
    <col min="11031" max="11031" width="10.6640625" style="44" customWidth="1"/>
    <col min="11032" max="11032" width="10.33203125" style="44" customWidth="1"/>
    <col min="11033" max="11033" width="12.33203125" style="44" bestFit="1" customWidth="1"/>
    <col min="11034" max="11034" width="10.44140625" style="44" customWidth="1"/>
    <col min="11035" max="11035" width="7.6640625" style="44"/>
    <col min="11036" max="11037" width="10.33203125" style="44" bestFit="1" customWidth="1"/>
    <col min="11038" max="11264" width="7.6640625" style="44"/>
    <col min="11265" max="11265" width="20" style="44" customWidth="1"/>
    <col min="11266" max="11266" width="12.5546875" style="44" customWidth="1"/>
    <col min="11267" max="11267" width="15.109375" style="44" customWidth="1"/>
    <col min="11268" max="11268" width="9.88671875" style="44" customWidth="1"/>
    <col min="11269" max="11269" width="10.109375" style="44" customWidth="1"/>
    <col min="11270" max="11270" width="7.6640625" style="44"/>
    <col min="11271" max="11271" width="9" style="44" customWidth="1"/>
    <col min="11272" max="11272" width="10.5546875" style="44" customWidth="1"/>
    <col min="11273" max="11273" width="10.44140625" style="44" customWidth="1"/>
    <col min="11274" max="11274" width="10" style="44" customWidth="1"/>
    <col min="11275" max="11275" width="11" style="44" customWidth="1"/>
    <col min="11276" max="11277" width="9.88671875" style="44" customWidth="1"/>
    <col min="11278" max="11278" width="8.88671875" style="44" customWidth="1"/>
    <col min="11279" max="11282" width="7.6640625" style="44"/>
    <col min="11283" max="11283" width="10.5546875" style="44" customWidth="1"/>
    <col min="11284" max="11284" width="11.6640625" style="44" customWidth="1"/>
    <col min="11285" max="11285" width="11.109375" style="44" customWidth="1"/>
    <col min="11286" max="11286" width="9.44140625" style="44" customWidth="1"/>
    <col min="11287" max="11287" width="10.6640625" style="44" customWidth="1"/>
    <col min="11288" max="11288" width="10.33203125" style="44" customWidth="1"/>
    <col min="11289" max="11289" width="12.33203125" style="44" bestFit="1" customWidth="1"/>
    <col min="11290" max="11290" width="10.44140625" style="44" customWidth="1"/>
    <col min="11291" max="11291" width="7.6640625" style="44"/>
    <col min="11292" max="11293" width="10.33203125" style="44" bestFit="1" customWidth="1"/>
    <col min="11294" max="11520" width="7.6640625" style="44"/>
    <col min="11521" max="11521" width="20" style="44" customWidth="1"/>
    <col min="11522" max="11522" width="12.5546875" style="44" customWidth="1"/>
    <col min="11523" max="11523" width="15.109375" style="44" customWidth="1"/>
    <col min="11524" max="11524" width="9.88671875" style="44" customWidth="1"/>
    <col min="11525" max="11525" width="10.109375" style="44" customWidth="1"/>
    <col min="11526" max="11526" width="7.6640625" style="44"/>
    <col min="11527" max="11527" width="9" style="44" customWidth="1"/>
    <col min="11528" max="11528" width="10.5546875" style="44" customWidth="1"/>
    <col min="11529" max="11529" width="10.44140625" style="44" customWidth="1"/>
    <col min="11530" max="11530" width="10" style="44" customWidth="1"/>
    <col min="11531" max="11531" width="11" style="44" customWidth="1"/>
    <col min="11532" max="11533" width="9.88671875" style="44" customWidth="1"/>
    <col min="11534" max="11534" width="8.88671875" style="44" customWidth="1"/>
    <col min="11535" max="11538" width="7.6640625" style="44"/>
    <col min="11539" max="11539" width="10.5546875" style="44" customWidth="1"/>
    <col min="11540" max="11540" width="11.6640625" style="44" customWidth="1"/>
    <col min="11541" max="11541" width="11.109375" style="44" customWidth="1"/>
    <col min="11542" max="11542" width="9.44140625" style="44" customWidth="1"/>
    <col min="11543" max="11543" width="10.6640625" style="44" customWidth="1"/>
    <col min="11544" max="11544" width="10.33203125" style="44" customWidth="1"/>
    <col min="11545" max="11545" width="12.33203125" style="44" bestFit="1" customWidth="1"/>
    <col min="11546" max="11546" width="10.44140625" style="44" customWidth="1"/>
    <col min="11547" max="11547" width="7.6640625" style="44"/>
    <col min="11548" max="11549" width="10.33203125" style="44" bestFit="1" customWidth="1"/>
    <col min="11550" max="11776" width="7.6640625" style="44"/>
    <col min="11777" max="11777" width="20" style="44" customWidth="1"/>
    <col min="11778" max="11778" width="12.5546875" style="44" customWidth="1"/>
    <col min="11779" max="11779" width="15.109375" style="44" customWidth="1"/>
    <col min="11780" max="11780" width="9.88671875" style="44" customWidth="1"/>
    <col min="11781" max="11781" width="10.109375" style="44" customWidth="1"/>
    <col min="11782" max="11782" width="7.6640625" style="44"/>
    <col min="11783" max="11783" width="9" style="44" customWidth="1"/>
    <col min="11784" max="11784" width="10.5546875" style="44" customWidth="1"/>
    <col min="11785" max="11785" width="10.44140625" style="44" customWidth="1"/>
    <col min="11786" max="11786" width="10" style="44" customWidth="1"/>
    <col min="11787" max="11787" width="11" style="44" customWidth="1"/>
    <col min="11788" max="11789" width="9.88671875" style="44" customWidth="1"/>
    <col min="11790" max="11790" width="8.88671875" style="44" customWidth="1"/>
    <col min="11791" max="11794" width="7.6640625" style="44"/>
    <col min="11795" max="11795" width="10.5546875" style="44" customWidth="1"/>
    <col min="11796" max="11796" width="11.6640625" style="44" customWidth="1"/>
    <col min="11797" max="11797" width="11.109375" style="44" customWidth="1"/>
    <col min="11798" max="11798" width="9.44140625" style="44" customWidth="1"/>
    <col min="11799" max="11799" width="10.6640625" style="44" customWidth="1"/>
    <col min="11800" max="11800" width="10.33203125" style="44" customWidth="1"/>
    <col min="11801" max="11801" width="12.33203125" style="44" bestFit="1" customWidth="1"/>
    <col min="11802" max="11802" width="10.44140625" style="44" customWidth="1"/>
    <col min="11803" max="11803" width="7.6640625" style="44"/>
    <col min="11804" max="11805" width="10.33203125" style="44" bestFit="1" customWidth="1"/>
    <col min="11806" max="12032" width="7.6640625" style="44"/>
    <col min="12033" max="12033" width="20" style="44" customWidth="1"/>
    <col min="12034" max="12034" width="12.5546875" style="44" customWidth="1"/>
    <col min="12035" max="12035" width="15.109375" style="44" customWidth="1"/>
    <col min="12036" max="12036" width="9.88671875" style="44" customWidth="1"/>
    <col min="12037" max="12037" width="10.109375" style="44" customWidth="1"/>
    <col min="12038" max="12038" width="7.6640625" style="44"/>
    <col min="12039" max="12039" width="9" style="44" customWidth="1"/>
    <col min="12040" max="12040" width="10.5546875" style="44" customWidth="1"/>
    <col min="12041" max="12041" width="10.44140625" style="44" customWidth="1"/>
    <col min="12042" max="12042" width="10" style="44" customWidth="1"/>
    <col min="12043" max="12043" width="11" style="44" customWidth="1"/>
    <col min="12044" max="12045" width="9.88671875" style="44" customWidth="1"/>
    <col min="12046" max="12046" width="8.88671875" style="44" customWidth="1"/>
    <col min="12047" max="12050" width="7.6640625" style="44"/>
    <col min="12051" max="12051" width="10.5546875" style="44" customWidth="1"/>
    <col min="12052" max="12052" width="11.6640625" style="44" customWidth="1"/>
    <col min="12053" max="12053" width="11.109375" style="44" customWidth="1"/>
    <col min="12054" max="12054" width="9.44140625" style="44" customWidth="1"/>
    <col min="12055" max="12055" width="10.6640625" style="44" customWidth="1"/>
    <col min="12056" max="12056" width="10.33203125" style="44" customWidth="1"/>
    <col min="12057" max="12057" width="12.33203125" style="44" bestFit="1" customWidth="1"/>
    <col min="12058" max="12058" width="10.44140625" style="44" customWidth="1"/>
    <col min="12059" max="12059" width="7.6640625" style="44"/>
    <col min="12060" max="12061" width="10.33203125" style="44" bestFit="1" customWidth="1"/>
    <col min="12062" max="12288" width="7.6640625" style="44"/>
    <col min="12289" max="12289" width="20" style="44" customWidth="1"/>
    <col min="12290" max="12290" width="12.5546875" style="44" customWidth="1"/>
    <col min="12291" max="12291" width="15.109375" style="44" customWidth="1"/>
    <col min="12292" max="12292" width="9.88671875" style="44" customWidth="1"/>
    <col min="12293" max="12293" width="10.109375" style="44" customWidth="1"/>
    <col min="12294" max="12294" width="7.6640625" style="44"/>
    <col min="12295" max="12295" width="9" style="44" customWidth="1"/>
    <col min="12296" max="12296" width="10.5546875" style="44" customWidth="1"/>
    <col min="12297" max="12297" width="10.44140625" style="44" customWidth="1"/>
    <col min="12298" max="12298" width="10" style="44" customWidth="1"/>
    <col min="12299" max="12299" width="11" style="44" customWidth="1"/>
    <col min="12300" max="12301" width="9.88671875" style="44" customWidth="1"/>
    <col min="12302" max="12302" width="8.88671875" style="44" customWidth="1"/>
    <col min="12303" max="12306" width="7.6640625" style="44"/>
    <col min="12307" max="12307" width="10.5546875" style="44" customWidth="1"/>
    <col min="12308" max="12308" width="11.6640625" style="44" customWidth="1"/>
    <col min="12309" max="12309" width="11.109375" style="44" customWidth="1"/>
    <col min="12310" max="12310" width="9.44140625" style="44" customWidth="1"/>
    <col min="12311" max="12311" width="10.6640625" style="44" customWidth="1"/>
    <col min="12312" max="12312" width="10.33203125" style="44" customWidth="1"/>
    <col min="12313" max="12313" width="12.33203125" style="44" bestFit="1" customWidth="1"/>
    <col min="12314" max="12314" width="10.44140625" style="44" customWidth="1"/>
    <col min="12315" max="12315" width="7.6640625" style="44"/>
    <col min="12316" max="12317" width="10.33203125" style="44" bestFit="1" customWidth="1"/>
    <col min="12318" max="12544" width="7.6640625" style="44"/>
    <col min="12545" max="12545" width="20" style="44" customWidth="1"/>
    <col min="12546" max="12546" width="12.5546875" style="44" customWidth="1"/>
    <col min="12547" max="12547" width="15.109375" style="44" customWidth="1"/>
    <col min="12548" max="12548" width="9.88671875" style="44" customWidth="1"/>
    <col min="12549" max="12549" width="10.109375" style="44" customWidth="1"/>
    <col min="12550" max="12550" width="7.6640625" style="44"/>
    <col min="12551" max="12551" width="9" style="44" customWidth="1"/>
    <col min="12552" max="12552" width="10.5546875" style="44" customWidth="1"/>
    <col min="12553" max="12553" width="10.44140625" style="44" customWidth="1"/>
    <col min="12554" max="12554" width="10" style="44" customWidth="1"/>
    <col min="12555" max="12555" width="11" style="44" customWidth="1"/>
    <col min="12556" max="12557" width="9.88671875" style="44" customWidth="1"/>
    <col min="12558" max="12558" width="8.88671875" style="44" customWidth="1"/>
    <col min="12559" max="12562" width="7.6640625" style="44"/>
    <col min="12563" max="12563" width="10.5546875" style="44" customWidth="1"/>
    <col min="12564" max="12564" width="11.6640625" style="44" customWidth="1"/>
    <col min="12565" max="12565" width="11.109375" style="44" customWidth="1"/>
    <col min="12566" max="12566" width="9.44140625" style="44" customWidth="1"/>
    <col min="12567" max="12567" width="10.6640625" style="44" customWidth="1"/>
    <col min="12568" max="12568" width="10.33203125" style="44" customWidth="1"/>
    <col min="12569" max="12569" width="12.33203125" style="44" bestFit="1" customWidth="1"/>
    <col min="12570" max="12570" width="10.44140625" style="44" customWidth="1"/>
    <col min="12571" max="12571" width="7.6640625" style="44"/>
    <col min="12572" max="12573" width="10.33203125" style="44" bestFit="1" customWidth="1"/>
    <col min="12574" max="12800" width="7.6640625" style="44"/>
    <col min="12801" max="12801" width="20" style="44" customWidth="1"/>
    <col min="12802" max="12802" width="12.5546875" style="44" customWidth="1"/>
    <col min="12803" max="12803" width="15.109375" style="44" customWidth="1"/>
    <col min="12804" max="12804" width="9.88671875" style="44" customWidth="1"/>
    <col min="12805" max="12805" width="10.109375" style="44" customWidth="1"/>
    <col min="12806" max="12806" width="7.6640625" style="44"/>
    <col min="12807" max="12807" width="9" style="44" customWidth="1"/>
    <col min="12808" max="12808" width="10.5546875" style="44" customWidth="1"/>
    <col min="12809" max="12809" width="10.44140625" style="44" customWidth="1"/>
    <col min="12810" max="12810" width="10" style="44" customWidth="1"/>
    <col min="12811" max="12811" width="11" style="44" customWidth="1"/>
    <col min="12812" max="12813" width="9.88671875" style="44" customWidth="1"/>
    <col min="12814" max="12814" width="8.88671875" style="44" customWidth="1"/>
    <col min="12815" max="12818" width="7.6640625" style="44"/>
    <col min="12819" max="12819" width="10.5546875" style="44" customWidth="1"/>
    <col min="12820" max="12820" width="11.6640625" style="44" customWidth="1"/>
    <col min="12821" max="12821" width="11.109375" style="44" customWidth="1"/>
    <col min="12822" max="12822" width="9.44140625" style="44" customWidth="1"/>
    <col min="12823" max="12823" width="10.6640625" style="44" customWidth="1"/>
    <col min="12824" max="12824" width="10.33203125" style="44" customWidth="1"/>
    <col min="12825" max="12825" width="12.33203125" style="44" bestFit="1" customWidth="1"/>
    <col min="12826" max="12826" width="10.44140625" style="44" customWidth="1"/>
    <col min="12827" max="12827" width="7.6640625" style="44"/>
    <col min="12828" max="12829" width="10.33203125" style="44" bestFit="1" customWidth="1"/>
    <col min="12830" max="13056" width="7.6640625" style="44"/>
    <col min="13057" max="13057" width="20" style="44" customWidth="1"/>
    <col min="13058" max="13058" width="12.5546875" style="44" customWidth="1"/>
    <col min="13059" max="13059" width="15.109375" style="44" customWidth="1"/>
    <col min="13060" max="13060" width="9.88671875" style="44" customWidth="1"/>
    <col min="13061" max="13061" width="10.109375" style="44" customWidth="1"/>
    <col min="13062" max="13062" width="7.6640625" style="44"/>
    <col min="13063" max="13063" width="9" style="44" customWidth="1"/>
    <col min="13064" max="13064" width="10.5546875" style="44" customWidth="1"/>
    <col min="13065" max="13065" width="10.44140625" style="44" customWidth="1"/>
    <col min="13066" max="13066" width="10" style="44" customWidth="1"/>
    <col min="13067" max="13067" width="11" style="44" customWidth="1"/>
    <col min="13068" max="13069" width="9.88671875" style="44" customWidth="1"/>
    <col min="13070" max="13070" width="8.88671875" style="44" customWidth="1"/>
    <col min="13071" max="13074" width="7.6640625" style="44"/>
    <col min="13075" max="13075" width="10.5546875" style="44" customWidth="1"/>
    <col min="13076" max="13076" width="11.6640625" style="44" customWidth="1"/>
    <col min="13077" max="13077" width="11.109375" style="44" customWidth="1"/>
    <col min="13078" max="13078" width="9.44140625" style="44" customWidth="1"/>
    <col min="13079" max="13079" width="10.6640625" style="44" customWidth="1"/>
    <col min="13080" max="13080" width="10.33203125" style="44" customWidth="1"/>
    <col min="13081" max="13081" width="12.33203125" style="44" bestFit="1" customWidth="1"/>
    <col min="13082" max="13082" width="10.44140625" style="44" customWidth="1"/>
    <col min="13083" max="13083" width="7.6640625" style="44"/>
    <col min="13084" max="13085" width="10.33203125" style="44" bestFit="1" customWidth="1"/>
    <col min="13086" max="13312" width="7.6640625" style="44"/>
    <col min="13313" max="13313" width="20" style="44" customWidth="1"/>
    <col min="13314" max="13314" width="12.5546875" style="44" customWidth="1"/>
    <col min="13315" max="13315" width="15.109375" style="44" customWidth="1"/>
    <col min="13316" max="13316" width="9.88671875" style="44" customWidth="1"/>
    <col min="13317" max="13317" width="10.109375" style="44" customWidth="1"/>
    <col min="13318" max="13318" width="7.6640625" style="44"/>
    <col min="13319" max="13319" width="9" style="44" customWidth="1"/>
    <col min="13320" max="13320" width="10.5546875" style="44" customWidth="1"/>
    <col min="13321" max="13321" width="10.44140625" style="44" customWidth="1"/>
    <col min="13322" max="13322" width="10" style="44" customWidth="1"/>
    <col min="13323" max="13323" width="11" style="44" customWidth="1"/>
    <col min="13324" max="13325" width="9.88671875" style="44" customWidth="1"/>
    <col min="13326" max="13326" width="8.88671875" style="44" customWidth="1"/>
    <col min="13327" max="13330" width="7.6640625" style="44"/>
    <col min="13331" max="13331" width="10.5546875" style="44" customWidth="1"/>
    <col min="13332" max="13332" width="11.6640625" style="44" customWidth="1"/>
    <col min="13333" max="13333" width="11.109375" style="44" customWidth="1"/>
    <col min="13334" max="13334" width="9.44140625" style="44" customWidth="1"/>
    <col min="13335" max="13335" width="10.6640625" style="44" customWidth="1"/>
    <col min="13336" max="13336" width="10.33203125" style="44" customWidth="1"/>
    <col min="13337" max="13337" width="12.33203125" style="44" bestFit="1" customWidth="1"/>
    <col min="13338" max="13338" width="10.44140625" style="44" customWidth="1"/>
    <col min="13339" max="13339" width="7.6640625" style="44"/>
    <col min="13340" max="13341" width="10.33203125" style="44" bestFit="1" customWidth="1"/>
    <col min="13342" max="13568" width="7.6640625" style="44"/>
    <col min="13569" max="13569" width="20" style="44" customWidth="1"/>
    <col min="13570" max="13570" width="12.5546875" style="44" customWidth="1"/>
    <col min="13571" max="13571" width="15.109375" style="44" customWidth="1"/>
    <col min="13572" max="13572" width="9.88671875" style="44" customWidth="1"/>
    <col min="13573" max="13573" width="10.109375" style="44" customWidth="1"/>
    <col min="13574" max="13574" width="7.6640625" style="44"/>
    <col min="13575" max="13575" width="9" style="44" customWidth="1"/>
    <col min="13576" max="13576" width="10.5546875" style="44" customWidth="1"/>
    <col min="13577" max="13577" width="10.44140625" style="44" customWidth="1"/>
    <col min="13578" max="13578" width="10" style="44" customWidth="1"/>
    <col min="13579" max="13579" width="11" style="44" customWidth="1"/>
    <col min="13580" max="13581" width="9.88671875" style="44" customWidth="1"/>
    <col min="13582" max="13582" width="8.88671875" style="44" customWidth="1"/>
    <col min="13583" max="13586" width="7.6640625" style="44"/>
    <col min="13587" max="13587" width="10.5546875" style="44" customWidth="1"/>
    <col min="13588" max="13588" width="11.6640625" style="44" customWidth="1"/>
    <col min="13589" max="13589" width="11.109375" style="44" customWidth="1"/>
    <col min="13590" max="13590" width="9.44140625" style="44" customWidth="1"/>
    <col min="13591" max="13591" width="10.6640625" style="44" customWidth="1"/>
    <col min="13592" max="13592" width="10.33203125" style="44" customWidth="1"/>
    <col min="13593" max="13593" width="12.33203125" style="44" bestFit="1" customWidth="1"/>
    <col min="13594" max="13594" width="10.44140625" style="44" customWidth="1"/>
    <col min="13595" max="13595" width="7.6640625" style="44"/>
    <col min="13596" max="13597" width="10.33203125" style="44" bestFit="1" customWidth="1"/>
    <col min="13598" max="13824" width="7.6640625" style="44"/>
    <col min="13825" max="13825" width="20" style="44" customWidth="1"/>
    <col min="13826" max="13826" width="12.5546875" style="44" customWidth="1"/>
    <col min="13827" max="13827" width="15.109375" style="44" customWidth="1"/>
    <col min="13828" max="13828" width="9.88671875" style="44" customWidth="1"/>
    <col min="13829" max="13829" width="10.109375" style="44" customWidth="1"/>
    <col min="13830" max="13830" width="7.6640625" style="44"/>
    <col min="13831" max="13831" width="9" style="44" customWidth="1"/>
    <col min="13832" max="13832" width="10.5546875" style="44" customWidth="1"/>
    <col min="13833" max="13833" width="10.44140625" style="44" customWidth="1"/>
    <col min="13834" max="13834" width="10" style="44" customWidth="1"/>
    <col min="13835" max="13835" width="11" style="44" customWidth="1"/>
    <col min="13836" max="13837" width="9.88671875" style="44" customWidth="1"/>
    <col min="13838" max="13838" width="8.88671875" style="44" customWidth="1"/>
    <col min="13839" max="13842" width="7.6640625" style="44"/>
    <col min="13843" max="13843" width="10.5546875" style="44" customWidth="1"/>
    <col min="13844" max="13844" width="11.6640625" style="44" customWidth="1"/>
    <col min="13845" max="13845" width="11.109375" style="44" customWidth="1"/>
    <col min="13846" max="13846" width="9.44140625" style="44" customWidth="1"/>
    <col min="13847" max="13847" width="10.6640625" style="44" customWidth="1"/>
    <col min="13848" max="13848" width="10.33203125" style="44" customWidth="1"/>
    <col min="13849" max="13849" width="12.33203125" style="44" bestFit="1" customWidth="1"/>
    <col min="13850" max="13850" width="10.44140625" style="44" customWidth="1"/>
    <col min="13851" max="13851" width="7.6640625" style="44"/>
    <col min="13852" max="13853" width="10.33203125" style="44" bestFit="1" customWidth="1"/>
    <col min="13854" max="14080" width="7.6640625" style="44"/>
    <col min="14081" max="14081" width="20" style="44" customWidth="1"/>
    <col min="14082" max="14082" width="12.5546875" style="44" customWidth="1"/>
    <col min="14083" max="14083" width="15.109375" style="44" customWidth="1"/>
    <col min="14084" max="14084" width="9.88671875" style="44" customWidth="1"/>
    <col min="14085" max="14085" width="10.109375" style="44" customWidth="1"/>
    <col min="14086" max="14086" width="7.6640625" style="44"/>
    <col min="14087" max="14087" width="9" style="44" customWidth="1"/>
    <col min="14088" max="14088" width="10.5546875" style="44" customWidth="1"/>
    <col min="14089" max="14089" width="10.44140625" style="44" customWidth="1"/>
    <col min="14090" max="14090" width="10" style="44" customWidth="1"/>
    <col min="14091" max="14091" width="11" style="44" customWidth="1"/>
    <col min="14092" max="14093" width="9.88671875" style="44" customWidth="1"/>
    <col min="14094" max="14094" width="8.88671875" style="44" customWidth="1"/>
    <col min="14095" max="14098" width="7.6640625" style="44"/>
    <col min="14099" max="14099" width="10.5546875" style="44" customWidth="1"/>
    <col min="14100" max="14100" width="11.6640625" style="44" customWidth="1"/>
    <col min="14101" max="14101" width="11.109375" style="44" customWidth="1"/>
    <col min="14102" max="14102" width="9.44140625" style="44" customWidth="1"/>
    <col min="14103" max="14103" width="10.6640625" style="44" customWidth="1"/>
    <col min="14104" max="14104" width="10.33203125" style="44" customWidth="1"/>
    <col min="14105" max="14105" width="12.33203125" style="44" bestFit="1" customWidth="1"/>
    <col min="14106" max="14106" width="10.44140625" style="44" customWidth="1"/>
    <col min="14107" max="14107" width="7.6640625" style="44"/>
    <col min="14108" max="14109" width="10.33203125" style="44" bestFit="1" customWidth="1"/>
    <col min="14110" max="14336" width="7.6640625" style="44"/>
    <col min="14337" max="14337" width="20" style="44" customWidth="1"/>
    <col min="14338" max="14338" width="12.5546875" style="44" customWidth="1"/>
    <col min="14339" max="14339" width="15.109375" style="44" customWidth="1"/>
    <col min="14340" max="14340" width="9.88671875" style="44" customWidth="1"/>
    <col min="14341" max="14341" width="10.109375" style="44" customWidth="1"/>
    <col min="14342" max="14342" width="7.6640625" style="44"/>
    <col min="14343" max="14343" width="9" style="44" customWidth="1"/>
    <col min="14344" max="14344" width="10.5546875" style="44" customWidth="1"/>
    <col min="14345" max="14345" width="10.44140625" style="44" customWidth="1"/>
    <col min="14346" max="14346" width="10" style="44" customWidth="1"/>
    <col min="14347" max="14347" width="11" style="44" customWidth="1"/>
    <col min="14348" max="14349" width="9.88671875" style="44" customWidth="1"/>
    <col min="14350" max="14350" width="8.88671875" style="44" customWidth="1"/>
    <col min="14351" max="14354" width="7.6640625" style="44"/>
    <col min="14355" max="14355" width="10.5546875" style="44" customWidth="1"/>
    <col min="14356" max="14356" width="11.6640625" style="44" customWidth="1"/>
    <col min="14357" max="14357" width="11.109375" style="44" customWidth="1"/>
    <col min="14358" max="14358" width="9.44140625" style="44" customWidth="1"/>
    <col min="14359" max="14359" width="10.6640625" style="44" customWidth="1"/>
    <col min="14360" max="14360" width="10.33203125" style="44" customWidth="1"/>
    <col min="14361" max="14361" width="12.33203125" style="44" bestFit="1" customWidth="1"/>
    <col min="14362" max="14362" width="10.44140625" style="44" customWidth="1"/>
    <col min="14363" max="14363" width="7.6640625" style="44"/>
    <col min="14364" max="14365" width="10.33203125" style="44" bestFit="1" customWidth="1"/>
    <col min="14366" max="14592" width="7.6640625" style="44"/>
    <col min="14593" max="14593" width="20" style="44" customWidth="1"/>
    <col min="14594" max="14594" width="12.5546875" style="44" customWidth="1"/>
    <col min="14595" max="14595" width="15.109375" style="44" customWidth="1"/>
    <col min="14596" max="14596" width="9.88671875" style="44" customWidth="1"/>
    <col min="14597" max="14597" width="10.109375" style="44" customWidth="1"/>
    <col min="14598" max="14598" width="7.6640625" style="44"/>
    <col min="14599" max="14599" width="9" style="44" customWidth="1"/>
    <col min="14600" max="14600" width="10.5546875" style="44" customWidth="1"/>
    <col min="14601" max="14601" width="10.44140625" style="44" customWidth="1"/>
    <col min="14602" max="14602" width="10" style="44" customWidth="1"/>
    <col min="14603" max="14603" width="11" style="44" customWidth="1"/>
    <col min="14604" max="14605" width="9.88671875" style="44" customWidth="1"/>
    <col min="14606" max="14606" width="8.88671875" style="44" customWidth="1"/>
    <col min="14607" max="14610" width="7.6640625" style="44"/>
    <col min="14611" max="14611" width="10.5546875" style="44" customWidth="1"/>
    <col min="14612" max="14612" width="11.6640625" style="44" customWidth="1"/>
    <col min="14613" max="14613" width="11.109375" style="44" customWidth="1"/>
    <col min="14614" max="14614" width="9.44140625" style="44" customWidth="1"/>
    <col min="14615" max="14615" width="10.6640625" style="44" customWidth="1"/>
    <col min="14616" max="14616" width="10.33203125" style="44" customWidth="1"/>
    <col min="14617" max="14617" width="12.33203125" style="44" bestFit="1" customWidth="1"/>
    <col min="14618" max="14618" width="10.44140625" style="44" customWidth="1"/>
    <col min="14619" max="14619" width="7.6640625" style="44"/>
    <col min="14620" max="14621" width="10.33203125" style="44" bestFit="1" customWidth="1"/>
    <col min="14622" max="14848" width="7.6640625" style="44"/>
    <col min="14849" max="14849" width="20" style="44" customWidth="1"/>
    <col min="14850" max="14850" width="12.5546875" style="44" customWidth="1"/>
    <col min="14851" max="14851" width="15.109375" style="44" customWidth="1"/>
    <col min="14852" max="14852" width="9.88671875" style="44" customWidth="1"/>
    <col min="14853" max="14853" width="10.109375" style="44" customWidth="1"/>
    <col min="14854" max="14854" width="7.6640625" style="44"/>
    <col min="14855" max="14855" width="9" style="44" customWidth="1"/>
    <col min="14856" max="14856" width="10.5546875" style="44" customWidth="1"/>
    <col min="14857" max="14857" width="10.44140625" style="44" customWidth="1"/>
    <col min="14858" max="14858" width="10" style="44" customWidth="1"/>
    <col min="14859" max="14859" width="11" style="44" customWidth="1"/>
    <col min="14860" max="14861" width="9.88671875" style="44" customWidth="1"/>
    <col min="14862" max="14862" width="8.88671875" style="44" customWidth="1"/>
    <col min="14863" max="14866" width="7.6640625" style="44"/>
    <col min="14867" max="14867" width="10.5546875" style="44" customWidth="1"/>
    <col min="14868" max="14868" width="11.6640625" style="44" customWidth="1"/>
    <col min="14869" max="14869" width="11.109375" style="44" customWidth="1"/>
    <col min="14870" max="14870" width="9.44140625" style="44" customWidth="1"/>
    <col min="14871" max="14871" width="10.6640625" style="44" customWidth="1"/>
    <col min="14872" max="14872" width="10.33203125" style="44" customWidth="1"/>
    <col min="14873" max="14873" width="12.33203125" style="44" bestFit="1" customWidth="1"/>
    <col min="14874" max="14874" width="10.44140625" style="44" customWidth="1"/>
    <col min="14875" max="14875" width="7.6640625" style="44"/>
    <col min="14876" max="14877" width="10.33203125" style="44" bestFit="1" customWidth="1"/>
    <col min="14878" max="15104" width="7.6640625" style="44"/>
    <col min="15105" max="15105" width="20" style="44" customWidth="1"/>
    <col min="15106" max="15106" width="12.5546875" style="44" customWidth="1"/>
    <col min="15107" max="15107" width="15.109375" style="44" customWidth="1"/>
    <col min="15108" max="15108" width="9.88671875" style="44" customWidth="1"/>
    <col min="15109" max="15109" width="10.109375" style="44" customWidth="1"/>
    <col min="15110" max="15110" width="7.6640625" style="44"/>
    <col min="15111" max="15111" width="9" style="44" customWidth="1"/>
    <col min="15112" max="15112" width="10.5546875" style="44" customWidth="1"/>
    <col min="15113" max="15113" width="10.44140625" style="44" customWidth="1"/>
    <col min="15114" max="15114" width="10" style="44" customWidth="1"/>
    <col min="15115" max="15115" width="11" style="44" customWidth="1"/>
    <col min="15116" max="15117" width="9.88671875" style="44" customWidth="1"/>
    <col min="15118" max="15118" width="8.88671875" style="44" customWidth="1"/>
    <col min="15119" max="15122" width="7.6640625" style="44"/>
    <col min="15123" max="15123" width="10.5546875" style="44" customWidth="1"/>
    <col min="15124" max="15124" width="11.6640625" style="44" customWidth="1"/>
    <col min="15125" max="15125" width="11.109375" style="44" customWidth="1"/>
    <col min="15126" max="15126" width="9.44140625" style="44" customWidth="1"/>
    <col min="15127" max="15127" width="10.6640625" style="44" customWidth="1"/>
    <col min="15128" max="15128" width="10.33203125" style="44" customWidth="1"/>
    <col min="15129" max="15129" width="12.33203125" style="44" bestFit="1" customWidth="1"/>
    <col min="15130" max="15130" width="10.44140625" style="44" customWidth="1"/>
    <col min="15131" max="15131" width="7.6640625" style="44"/>
    <col min="15132" max="15133" width="10.33203125" style="44" bestFit="1" customWidth="1"/>
    <col min="15134" max="15360" width="7.6640625" style="44"/>
    <col min="15361" max="15361" width="20" style="44" customWidth="1"/>
    <col min="15362" max="15362" width="12.5546875" style="44" customWidth="1"/>
    <col min="15363" max="15363" width="15.109375" style="44" customWidth="1"/>
    <col min="15364" max="15364" width="9.88671875" style="44" customWidth="1"/>
    <col min="15365" max="15365" width="10.109375" style="44" customWidth="1"/>
    <col min="15366" max="15366" width="7.6640625" style="44"/>
    <col min="15367" max="15367" width="9" style="44" customWidth="1"/>
    <col min="15368" max="15368" width="10.5546875" style="44" customWidth="1"/>
    <col min="15369" max="15369" width="10.44140625" style="44" customWidth="1"/>
    <col min="15370" max="15370" width="10" style="44" customWidth="1"/>
    <col min="15371" max="15371" width="11" style="44" customWidth="1"/>
    <col min="15372" max="15373" width="9.88671875" style="44" customWidth="1"/>
    <col min="15374" max="15374" width="8.88671875" style="44" customWidth="1"/>
    <col min="15375" max="15378" width="7.6640625" style="44"/>
    <col min="15379" max="15379" width="10.5546875" style="44" customWidth="1"/>
    <col min="15380" max="15380" width="11.6640625" style="44" customWidth="1"/>
    <col min="15381" max="15381" width="11.109375" style="44" customWidth="1"/>
    <col min="15382" max="15382" width="9.44140625" style="44" customWidth="1"/>
    <col min="15383" max="15383" width="10.6640625" style="44" customWidth="1"/>
    <col min="15384" max="15384" width="10.33203125" style="44" customWidth="1"/>
    <col min="15385" max="15385" width="12.33203125" style="44" bestFit="1" customWidth="1"/>
    <col min="15386" max="15386" width="10.44140625" style="44" customWidth="1"/>
    <col min="15387" max="15387" width="7.6640625" style="44"/>
    <col min="15388" max="15389" width="10.33203125" style="44" bestFit="1" customWidth="1"/>
    <col min="15390" max="15616" width="7.6640625" style="44"/>
    <col min="15617" max="15617" width="20" style="44" customWidth="1"/>
    <col min="15618" max="15618" width="12.5546875" style="44" customWidth="1"/>
    <col min="15619" max="15619" width="15.109375" style="44" customWidth="1"/>
    <col min="15620" max="15620" width="9.88671875" style="44" customWidth="1"/>
    <col min="15621" max="15621" width="10.109375" style="44" customWidth="1"/>
    <col min="15622" max="15622" width="7.6640625" style="44"/>
    <col min="15623" max="15623" width="9" style="44" customWidth="1"/>
    <col min="15624" max="15624" width="10.5546875" style="44" customWidth="1"/>
    <col min="15625" max="15625" width="10.44140625" style="44" customWidth="1"/>
    <col min="15626" max="15626" width="10" style="44" customWidth="1"/>
    <col min="15627" max="15627" width="11" style="44" customWidth="1"/>
    <col min="15628" max="15629" width="9.88671875" style="44" customWidth="1"/>
    <col min="15630" max="15630" width="8.88671875" style="44" customWidth="1"/>
    <col min="15631" max="15634" width="7.6640625" style="44"/>
    <col min="15635" max="15635" width="10.5546875" style="44" customWidth="1"/>
    <col min="15636" max="15636" width="11.6640625" style="44" customWidth="1"/>
    <col min="15637" max="15637" width="11.109375" style="44" customWidth="1"/>
    <col min="15638" max="15638" width="9.44140625" style="44" customWidth="1"/>
    <col min="15639" max="15639" width="10.6640625" style="44" customWidth="1"/>
    <col min="15640" max="15640" width="10.33203125" style="44" customWidth="1"/>
    <col min="15641" max="15641" width="12.33203125" style="44" bestFit="1" customWidth="1"/>
    <col min="15642" max="15642" width="10.44140625" style="44" customWidth="1"/>
    <col min="15643" max="15643" width="7.6640625" style="44"/>
    <col min="15644" max="15645" width="10.33203125" style="44" bestFit="1" customWidth="1"/>
    <col min="15646" max="15872" width="7.6640625" style="44"/>
    <col min="15873" max="15873" width="20" style="44" customWidth="1"/>
    <col min="15874" max="15874" width="12.5546875" style="44" customWidth="1"/>
    <col min="15875" max="15875" width="15.109375" style="44" customWidth="1"/>
    <col min="15876" max="15876" width="9.88671875" style="44" customWidth="1"/>
    <col min="15877" max="15877" width="10.109375" style="44" customWidth="1"/>
    <col min="15878" max="15878" width="7.6640625" style="44"/>
    <col min="15879" max="15879" width="9" style="44" customWidth="1"/>
    <col min="15880" max="15880" width="10.5546875" style="44" customWidth="1"/>
    <col min="15881" max="15881" width="10.44140625" style="44" customWidth="1"/>
    <col min="15882" max="15882" width="10" style="44" customWidth="1"/>
    <col min="15883" max="15883" width="11" style="44" customWidth="1"/>
    <col min="15884" max="15885" width="9.88671875" style="44" customWidth="1"/>
    <col min="15886" max="15886" width="8.88671875" style="44" customWidth="1"/>
    <col min="15887" max="15890" width="7.6640625" style="44"/>
    <col min="15891" max="15891" width="10.5546875" style="44" customWidth="1"/>
    <col min="15892" max="15892" width="11.6640625" style="44" customWidth="1"/>
    <col min="15893" max="15893" width="11.109375" style="44" customWidth="1"/>
    <col min="15894" max="15894" width="9.44140625" style="44" customWidth="1"/>
    <col min="15895" max="15895" width="10.6640625" style="44" customWidth="1"/>
    <col min="15896" max="15896" width="10.33203125" style="44" customWidth="1"/>
    <col min="15897" max="15897" width="12.33203125" style="44" bestFit="1" customWidth="1"/>
    <col min="15898" max="15898" width="10.44140625" style="44" customWidth="1"/>
    <col min="15899" max="15899" width="7.6640625" style="44"/>
    <col min="15900" max="15901" width="10.33203125" style="44" bestFit="1" customWidth="1"/>
    <col min="15902" max="16128" width="7.6640625" style="44"/>
    <col min="16129" max="16129" width="20" style="44" customWidth="1"/>
    <col min="16130" max="16130" width="12.5546875" style="44" customWidth="1"/>
    <col min="16131" max="16131" width="15.109375" style="44" customWidth="1"/>
    <col min="16132" max="16132" width="9.88671875" style="44" customWidth="1"/>
    <col min="16133" max="16133" width="10.109375" style="44" customWidth="1"/>
    <col min="16134" max="16134" width="7.6640625" style="44"/>
    <col min="16135" max="16135" width="9" style="44" customWidth="1"/>
    <col min="16136" max="16136" width="10.5546875" style="44" customWidth="1"/>
    <col min="16137" max="16137" width="10.44140625" style="44" customWidth="1"/>
    <col min="16138" max="16138" width="10" style="44" customWidth="1"/>
    <col min="16139" max="16139" width="11" style="44" customWidth="1"/>
    <col min="16140" max="16141" width="9.88671875" style="44" customWidth="1"/>
    <col min="16142" max="16142" width="8.88671875" style="44" customWidth="1"/>
    <col min="16143" max="16146" width="7.6640625" style="44"/>
    <col min="16147" max="16147" width="10.5546875" style="44" customWidth="1"/>
    <col min="16148" max="16148" width="11.6640625" style="44" customWidth="1"/>
    <col min="16149" max="16149" width="11.109375" style="44" customWidth="1"/>
    <col min="16150" max="16150" width="9.44140625" style="44" customWidth="1"/>
    <col min="16151" max="16151" width="10.6640625" style="44" customWidth="1"/>
    <col min="16152" max="16152" width="10.33203125" style="44" customWidth="1"/>
    <col min="16153" max="16153" width="12.33203125" style="44" bestFit="1" customWidth="1"/>
    <col min="16154" max="16154" width="10.44140625" style="44" customWidth="1"/>
    <col min="16155" max="16155" width="7.6640625" style="44"/>
    <col min="16156" max="16157" width="10.33203125" style="44" bestFit="1" customWidth="1"/>
    <col min="16158" max="16384" width="7.6640625" style="44"/>
  </cols>
  <sheetData>
    <row r="1" spans="1:36" s="32" customFormat="1" ht="14.4" x14ac:dyDescent="0.3">
      <c r="A1" s="31" t="s">
        <v>33</v>
      </c>
      <c r="C1" s="33"/>
      <c r="D1" s="33"/>
      <c r="E1" s="33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s="32" customFormat="1" ht="14.4" x14ac:dyDescent="0.3">
      <c r="A2" s="31"/>
      <c r="B2" s="34"/>
      <c r="C2" s="34"/>
      <c r="S2" s="34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32" customFormat="1" ht="14.4" x14ac:dyDescent="0.3">
      <c r="A3" s="35"/>
      <c r="B3" s="36"/>
      <c r="C3" s="37"/>
      <c r="D3" s="36"/>
      <c r="E3" s="36"/>
      <c r="F3" s="36"/>
      <c r="G3" s="36"/>
      <c r="H3" s="36"/>
      <c r="I3" s="36"/>
      <c r="J3" s="36"/>
      <c r="K3" s="36" t="s">
        <v>1</v>
      </c>
      <c r="L3" s="36"/>
      <c r="M3" s="36"/>
      <c r="N3" s="36"/>
      <c r="O3" s="36"/>
      <c r="P3" s="36"/>
      <c r="Q3" s="36"/>
      <c r="R3" s="36"/>
      <c r="S3" s="37"/>
      <c r="T3" s="36" t="s">
        <v>34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32" customFormat="1" ht="14.4" x14ac:dyDescent="0.3">
      <c r="A4" s="38" t="s">
        <v>2</v>
      </c>
      <c r="B4" s="39" t="s">
        <v>7</v>
      </c>
      <c r="C4" s="40">
        <v>0.1</v>
      </c>
      <c r="D4" s="41">
        <v>0.2</v>
      </c>
      <c r="E4" s="41">
        <v>1.1000000000000001</v>
      </c>
      <c r="F4" s="41">
        <v>0.3</v>
      </c>
      <c r="G4" s="41">
        <v>1.2</v>
      </c>
      <c r="H4" s="41">
        <v>2.1</v>
      </c>
      <c r="I4" s="41">
        <v>0.4</v>
      </c>
      <c r="J4" s="41">
        <v>1.3</v>
      </c>
      <c r="K4" s="41">
        <v>2.2000000000000002</v>
      </c>
      <c r="L4" s="41">
        <v>3.1</v>
      </c>
      <c r="M4" s="41">
        <v>1.4</v>
      </c>
      <c r="N4" s="41">
        <v>2.2999999999999998</v>
      </c>
      <c r="O4" s="41">
        <v>3.2</v>
      </c>
      <c r="P4" s="41">
        <v>1.5</v>
      </c>
      <c r="Q4" s="41">
        <v>2.4</v>
      </c>
      <c r="R4" s="41">
        <v>3.3</v>
      </c>
      <c r="S4" s="41">
        <v>3.4</v>
      </c>
      <c r="T4" s="39" t="s">
        <v>32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4.4" x14ac:dyDescent="0.3">
      <c r="A5" s="42">
        <v>1980</v>
      </c>
      <c r="B5" s="43">
        <v>238038</v>
      </c>
      <c r="C5" s="43"/>
      <c r="D5" s="43"/>
      <c r="E5" s="43"/>
      <c r="F5" s="43"/>
      <c r="G5" s="43"/>
      <c r="H5" s="43"/>
      <c r="I5" s="43">
        <v>0</v>
      </c>
      <c r="J5" s="43">
        <v>12754</v>
      </c>
      <c r="K5" s="43">
        <v>400014</v>
      </c>
      <c r="L5" s="43">
        <v>90</v>
      </c>
      <c r="M5" s="43">
        <v>54</v>
      </c>
      <c r="N5" s="43">
        <v>132036</v>
      </c>
      <c r="O5" s="43">
        <v>330</v>
      </c>
      <c r="P5" s="43">
        <v>0</v>
      </c>
      <c r="Q5" s="43">
        <v>205</v>
      </c>
      <c r="R5" s="43">
        <v>17</v>
      </c>
      <c r="S5" s="43">
        <v>0</v>
      </c>
      <c r="T5" s="43">
        <v>545500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ht="14.4" x14ac:dyDescent="0.3">
      <c r="A6" s="42">
        <v>1981</v>
      </c>
      <c r="B6" s="43">
        <v>214728</v>
      </c>
      <c r="C6" s="43"/>
      <c r="D6" s="43"/>
      <c r="E6" s="43"/>
      <c r="F6" s="43">
        <v>1134</v>
      </c>
      <c r="G6" s="43">
        <v>43049</v>
      </c>
      <c r="H6" s="43">
        <v>9594</v>
      </c>
      <c r="I6" s="43">
        <v>0</v>
      </c>
      <c r="J6" s="43">
        <v>6463</v>
      </c>
      <c r="K6" s="43">
        <v>210579</v>
      </c>
      <c r="L6" s="43">
        <v>0</v>
      </c>
      <c r="M6" s="43">
        <v>2</v>
      </c>
      <c r="N6" s="43">
        <v>47413</v>
      </c>
      <c r="O6" s="43">
        <v>18</v>
      </c>
      <c r="P6" s="43">
        <v>0</v>
      </c>
      <c r="Q6" s="43">
        <v>41</v>
      </c>
      <c r="R6" s="43">
        <v>93</v>
      </c>
      <c r="S6" s="43">
        <v>0</v>
      </c>
      <c r="T6" s="43">
        <v>318386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ht="14.4" x14ac:dyDescent="0.3">
      <c r="A7" s="42">
        <v>1982</v>
      </c>
      <c r="B7" s="43">
        <v>104503</v>
      </c>
      <c r="C7" s="43"/>
      <c r="D7" s="43">
        <v>0</v>
      </c>
      <c r="E7" s="43">
        <v>0</v>
      </c>
      <c r="F7" s="43">
        <v>657</v>
      </c>
      <c r="G7" s="43">
        <v>1324</v>
      </c>
      <c r="H7" s="43">
        <v>1333</v>
      </c>
      <c r="I7" s="43">
        <v>0</v>
      </c>
      <c r="J7" s="43">
        <v>7344</v>
      </c>
      <c r="K7" s="43">
        <v>70269</v>
      </c>
      <c r="L7" s="43">
        <v>0</v>
      </c>
      <c r="M7" s="43">
        <v>91</v>
      </c>
      <c r="N7" s="43">
        <v>197258</v>
      </c>
      <c r="O7" s="43">
        <v>488</v>
      </c>
      <c r="P7" s="43">
        <v>0</v>
      </c>
      <c r="Q7" s="43">
        <v>1259</v>
      </c>
      <c r="R7" s="43">
        <v>847</v>
      </c>
      <c r="S7" s="43">
        <v>0</v>
      </c>
      <c r="T7" s="43">
        <v>280870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ht="14.4" x14ac:dyDescent="0.3">
      <c r="A8" s="42">
        <v>1983</v>
      </c>
      <c r="B8" s="43">
        <v>172143</v>
      </c>
      <c r="C8" s="43">
        <v>0</v>
      </c>
      <c r="D8" s="43">
        <v>0</v>
      </c>
      <c r="E8" s="43">
        <v>0</v>
      </c>
      <c r="F8" s="43">
        <v>147</v>
      </c>
      <c r="G8" s="43">
        <v>5044</v>
      </c>
      <c r="H8" s="43">
        <v>176</v>
      </c>
      <c r="I8" s="43">
        <v>0</v>
      </c>
      <c r="J8" s="43">
        <v>16802</v>
      </c>
      <c r="K8" s="43">
        <v>134380</v>
      </c>
      <c r="L8" s="43">
        <v>0</v>
      </c>
      <c r="M8" s="43">
        <v>488</v>
      </c>
      <c r="N8" s="43">
        <v>160027</v>
      </c>
      <c r="O8" s="43">
        <v>2093</v>
      </c>
      <c r="P8" s="43">
        <v>0</v>
      </c>
      <c r="Q8" s="43">
        <v>89</v>
      </c>
      <c r="R8" s="43">
        <v>0</v>
      </c>
      <c r="S8" s="43">
        <v>0</v>
      </c>
      <c r="T8" s="43">
        <v>319246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ht="14.4" x14ac:dyDescent="0.3">
      <c r="A9" s="42">
        <v>1984</v>
      </c>
      <c r="B9" s="43">
        <v>108151</v>
      </c>
      <c r="C9" s="43">
        <v>0</v>
      </c>
      <c r="D9" s="43">
        <v>0</v>
      </c>
      <c r="E9" s="43">
        <v>0</v>
      </c>
      <c r="F9" s="43">
        <v>429</v>
      </c>
      <c r="G9" s="43">
        <v>2887</v>
      </c>
      <c r="H9" s="43">
        <v>19898</v>
      </c>
      <c r="I9" s="43">
        <v>0</v>
      </c>
      <c r="J9" s="43">
        <v>23787</v>
      </c>
      <c r="K9" s="43">
        <v>301375</v>
      </c>
      <c r="L9" s="43">
        <v>0</v>
      </c>
      <c r="M9" s="43">
        <v>185</v>
      </c>
      <c r="N9" s="43">
        <v>142790</v>
      </c>
      <c r="O9" s="43">
        <v>11014</v>
      </c>
      <c r="P9" s="43">
        <v>0</v>
      </c>
      <c r="Q9" s="43">
        <v>1261</v>
      </c>
      <c r="R9" s="43">
        <v>0</v>
      </c>
      <c r="S9" s="43">
        <v>0</v>
      </c>
      <c r="T9" s="43">
        <v>503626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ht="14.4" x14ac:dyDescent="0.3">
      <c r="A10" s="42">
        <v>1985</v>
      </c>
      <c r="B10" s="43">
        <v>170739</v>
      </c>
      <c r="C10" s="43">
        <v>0</v>
      </c>
      <c r="D10" s="43">
        <v>0</v>
      </c>
      <c r="E10" s="43">
        <v>1</v>
      </c>
      <c r="F10" s="43">
        <v>592</v>
      </c>
      <c r="G10" s="43">
        <v>24407</v>
      </c>
      <c r="H10" s="43">
        <v>14756</v>
      </c>
      <c r="I10" s="43">
        <v>0</v>
      </c>
      <c r="J10" s="43">
        <v>138603</v>
      </c>
      <c r="K10" s="43">
        <v>538445</v>
      </c>
      <c r="L10" s="43">
        <v>0</v>
      </c>
      <c r="M10" s="43">
        <v>1058</v>
      </c>
      <c r="N10" s="43">
        <v>217073</v>
      </c>
      <c r="O10" s="43">
        <v>38</v>
      </c>
      <c r="P10" s="43">
        <v>0</v>
      </c>
      <c r="Q10" s="43">
        <v>2789</v>
      </c>
      <c r="R10" s="43">
        <v>2074</v>
      </c>
      <c r="S10" s="43">
        <v>0</v>
      </c>
      <c r="T10" s="43">
        <v>939836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4.4" x14ac:dyDescent="0.3">
      <c r="A11" s="42">
        <v>1986</v>
      </c>
      <c r="B11" s="43">
        <v>98921</v>
      </c>
      <c r="C11" s="43">
        <v>0</v>
      </c>
      <c r="D11" s="43">
        <v>0</v>
      </c>
      <c r="E11" s="43">
        <v>172</v>
      </c>
      <c r="F11" s="43">
        <v>2512</v>
      </c>
      <c r="G11" s="43">
        <v>62610</v>
      </c>
      <c r="H11" s="43">
        <v>2269</v>
      </c>
      <c r="I11" s="43">
        <v>0</v>
      </c>
      <c r="J11" s="43">
        <v>77677</v>
      </c>
      <c r="K11" s="43">
        <v>412258</v>
      </c>
      <c r="L11" s="43">
        <v>0</v>
      </c>
      <c r="M11" s="43">
        <v>1252</v>
      </c>
      <c r="N11" s="43">
        <v>301036</v>
      </c>
      <c r="O11" s="43">
        <v>5751</v>
      </c>
      <c r="P11" s="43">
        <v>0</v>
      </c>
      <c r="Q11" s="43">
        <v>416</v>
      </c>
      <c r="R11" s="43">
        <v>4290</v>
      </c>
      <c r="S11" s="43">
        <v>0</v>
      </c>
      <c r="T11" s="43">
        <v>870243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ht="14.4" x14ac:dyDescent="0.3">
      <c r="A12" s="42">
        <v>1987</v>
      </c>
      <c r="B12" s="43">
        <v>83395</v>
      </c>
      <c r="C12" s="43">
        <v>0</v>
      </c>
      <c r="D12" s="43">
        <v>0</v>
      </c>
      <c r="E12" s="43">
        <v>0</v>
      </c>
      <c r="F12" s="43">
        <v>910</v>
      </c>
      <c r="G12" s="43">
        <v>77886</v>
      </c>
      <c r="H12" s="43">
        <v>17721</v>
      </c>
      <c r="I12" s="43">
        <v>57</v>
      </c>
      <c r="J12" s="43">
        <v>19211</v>
      </c>
      <c r="K12" s="43">
        <v>451063</v>
      </c>
      <c r="L12" s="43">
        <v>1000</v>
      </c>
      <c r="M12" s="43">
        <v>321</v>
      </c>
      <c r="N12" s="43">
        <v>490594</v>
      </c>
      <c r="O12" s="43">
        <v>25598</v>
      </c>
      <c r="P12" s="43">
        <v>0</v>
      </c>
      <c r="Q12" s="43">
        <v>1909</v>
      </c>
      <c r="R12" s="43">
        <v>2341</v>
      </c>
      <c r="S12" s="43">
        <v>0</v>
      </c>
      <c r="T12" s="43">
        <v>1088611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4.4" x14ac:dyDescent="0.3">
      <c r="A13" s="42">
        <v>1988</v>
      </c>
      <c r="B13" s="43">
        <v>140660</v>
      </c>
      <c r="C13" s="43">
        <v>0</v>
      </c>
      <c r="D13" s="43">
        <v>0</v>
      </c>
      <c r="E13" s="43">
        <v>2101</v>
      </c>
      <c r="F13" s="43">
        <v>256</v>
      </c>
      <c r="G13" s="43">
        <v>15096</v>
      </c>
      <c r="H13" s="43">
        <v>29363</v>
      </c>
      <c r="I13" s="43">
        <v>77</v>
      </c>
      <c r="J13" s="43">
        <v>18515</v>
      </c>
      <c r="K13" s="43">
        <v>370999</v>
      </c>
      <c r="L13" s="43">
        <v>0</v>
      </c>
      <c r="M13" s="43">
        <v>109</v>
      </c>
      <c r="N13" s="43">
        <v>250503</v>
      </c>
      <c r="O13" s="43">
        <v>224</v>
      </c>
      <c r="P13" s="43">
        <v>0</v>
      </c>
      <c r="Q13" s="43">
        <v>2886</v>
      </c>
      <c r="R13" s="43">
        <v>143</v>
      </c>
      <c r="S13" s="43">
        <v>0</v>
      </c>
      <c r="T13" s="43">
        <v>690272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ht="14.4" x14ac:dyDescent="0.3">
      <c r="A14" s="42">
        <v>1989</v>
      </c>
      <c r="B14" s="43">
        <v>204804</v>
      </c>
      <c r="C14" s="43">
        <v>0</v>
      </c>
      <c r="D14" s="43">
        <v>0</v>
      </c>
      <c r="E14" s="43">
        <v>2599</v>
      </c>
      <c r="F14" s="43">
        <v>1932</v>
      </c>
      <c r="G14" s="43">
        <v>6504</v>
      </c>
      <c r="H14" s="43">
        <v>40756</v>
      </c>
      <c r="I14" s="43">
        <v>0</v>
      </c>
      <c r="J14" s="43">
        <v>52714</v>
      </c>
      <c r="K14" s="43">
        <v>638148</v>
      </c>
      <c r="L14" s="43">
        <v>0</v>
      </c>
      <c r="M14" s="43">
        <v>2223</v>
      </c>
      <c r="N14" s="43">
        <v>322645</v>
      </c>
      <c r="O14" s="43">
        <v>1191</v>
      </c>
      <c r="P14" s="43">
        <v>0</v>
      </c>
      <c r="Q14" s="43">
        <v>439</v>
      </c>
      <c r="R14" s="43">
        <v>67</v>
      </c>
      <c r="S14" s="43">
        <v>0</v>
      </c>
      <c r="T14" s="43">
        <v>1069218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ht="14.4" x14ac:dyDescent="0.3">
      <c r="A15" s="42">
        <v>1990</v>
      </c>
      <c r="B15" s="43">
        <v>262946</v>
      </c>
      <c r="C15" s="43">
        <v>0</v>
      </c>
      <c r="D15" s="43">
        <v>0</v>
      </c>
      <c r="E15" s="43">
        <v>0</v>
      </c>
      <c r="F15" s="43">
        <v>1037</v>
      </c>
      <c r="G15" s="43">
        <v>35887</v>
      </c>
      <c r="H15" s="43">
        <v>11911</v>
      </c>
      <c r="I15" s="43">
        <v>82</v>
      </c>
      <c r="J15" s="43">
        <v>77905</v>
      </c>
      <c r="K15" s="43">
        <v>795302</v>
      </c>
      <c r="L15" s="43">
        <v>0</v>
      </c>
      <c r="M15" s="43">
        <v>94</v>
      </c>
      <c r="N15" s="43">
        <v>250526</v>
      </c>
      <c r="O15" s="43">
        <v>13215</v>
      </c>
      <c r="P15" s="43">
        <v>0</v>
      </c>
      <c r="Q15" s="43">
        <v>751</v>
      </c>
      <c r="R15" s="43">
        <v>1370</v>
      </c>
      <c r="S15" s="43">
        <v>0</v>
      </c>
      <c r="T15" s="43">
        <v>1188080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ht="14.4" x14ac:dyDescent="0.3">
      <c r="A16" s="42">
        <v>1991</v>
      </c>
      <c r="B16" s="43">
        <v>173913</v>
      </c>
      <c r="C16" s="43">
        <v>0</v>
      </c>
      <c r="D16" s="43">
        <v>0</v>
      </c>
      <c r="E16" s="43">
        <v>1123</v>
      </c>
      <c r="F16" s="43">
        <v>211</v>
      </c>
      <c r="G16" s="43">
        <v>39738</v>
      </c>
      <c r="H16" s="43">
        <v>15637</v>
      </c>
      <c r="I16" s="43">
        <v>90</v>
      </c>
      <c r="J16" s="43">
        <v>32615</v>
      </c>
      <c r="K16" s="43">
        <v>192725</v>
      </c>
      <c r="L16" s="43">
        <v>146</v>
      </c>
      <c r="M16" s="43">
        <v>979</v>
      </c>
      <c r="N16" s="43">
        <v>91586</v>
      </c>
      <c r="O16" s="43">
        <v>1564</v>
      </c>
      <c r="P16" s="43">
        <v>0</v>
      </c>
      <c r="Q16" s="43">
        <v>0</v>
      </c>
      <c r="R16" s="43">
        <v>1</v>
      </c>
      <c r="S16" s="43">
        <v>0</v>
      </c>
      <c r="T16" s="43">
        <v>376415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43" ht="14.4" x14ac:dyDescent="0.3">
      <c r="A17" s="42">
        <v>1992</v>
      </c>
      <c r="B17" s="43">
        <v>195830</v>
      </c>
      <c r="C17" s="43">
        <v>0</v>
      </c>
      <c r="D17" s="43">
        <v>0</v>
      </c>
      <c r="E17" s="43">
        <v>247</v>
      </c>
      <c r="F17" s="43">
        <v>741</v>
      </c>
      <c r="G17" s="43">
        <v>7789</v>
      </c>
      <c r="H17" s="43">
        <v>19961</v>
      </c>
      <c r="I17" s="43">
        <v>226</v>
      </c>
      <c r="J17" s="43">
        <v>44890</v>
      </c>
      <c r="K17" s="43">
        <v>356357</v>
      </c>
      <c r="L17" s="43">
        <v>0</v>
      </c>
      <c r="M17" s="43">
        <v>0</v>
      </c>
      <c r="N17" s="43">
        <v>73155</v>
      </c>
      <c r="O17" s="43">
        <v>339</v>
      </c>
      <c r="P17" s="43">
        <v>0</v>
      </c>
      <c r="Q17" s="43">
        <v>44</v>
      </c>
      <c r="R17" s="43">
        <v>215</v>
      </c>
      <c r="S17" s="43">
        <v>0</v>
      </c>
      <c r="T17" s="43">
        <v>503964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43" ht="14.4" x14ac:dyDescent="0.3">
      <c r="A18" s="42">
        <v>1993</v>
      </c>
      <c r="B18" s="43">
        <v>197988</v>
      </c>
      <c r="C18" s="43">
        <v>0</v>
      </c>
      <c r="D18" s="43">
        <v>189</v>
      </c>
      <c r="E18" s="43">
        <v>122</v>
      </c>
      <c r="F18" s="43">
        <v>7940</v>
      </c>
      <c r="G18" s="43">
        <v>6631</v>
      </c>
      <c r="H18" s="43">
        <v>30910</v>
      </c>
      <c r="I18" s="43">
        <v>1</v>
      </c>
      <c r="J18" s="43">
        <v>6601</v>
      </c>
      <c r="K18" s="43">
        <v>366291</v>
      </c>
      <c r="L18" s="43">
        <v>123</v>
      </c>
      <c r="M18" s="43">
        <v>184</v>
      </c>
      <c r="N18" s="43">
        <v>114578</v>
      </c>
      <c r="O18" s="43">
        <v>5819</v>
      </c>
      <c r="P18" s="43">
        <v>0</v>
      </c>
      <c r="Q18" s="43">
        <v>100</v>
      </c>
      <c r="R18" s="43">
        <v>1299</v>
      </c>
      <c r="S18" s="43">
        <v>32</v>
      </c>
      <c r="T18" s="43">
        <v>540820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43" ht="14.4" x14ac:dyDescent="0.3">
      <c r="A19" s="42">
        <v>1994</v>
      </c>
      <c r="B19" s="43">
        <v>204441</v>
      </c>
      <c r="C19" s="43">
        <v>0</v>
      </c>
      <c r="D19" s="43">
        <v>316</v>
      </c>
      <c r="E19" s="43">
        <v>1705</v>
      </c>
      <c r="F19" s="43">
        <v>312</v>
      </c>
      <c r="G19" s="43">
        <v>20444</v>
      </c>
      <c r="H19" s="43">
        <v>21371</v>
      </c>
      <c r="I19" s="43">
        <v>0</v>
      </c>
      <c r="J19" s="43">
        <v>18139</v>
      </c>
      <c r="K19" s="43">
        <v>566411</v>
      </c>
      <c r="L19" s="43">
        <v>0</v>
      </c>
      <c r="M19" s="43">
        <v>55</v>
      </c>
      <c r="N19" s="43">
        <v>156901</v>
      </c>
      <c r="O19" s="43">
        <v>1098</v>
      </c>
      <c r="P19" s="43">
        <v>32</v>
      </c>
      <c r="Q19" s="43">
        <v>714</v>
      </c>
      <c r="R19" s="43">
        <v>229</v>
      </c>
      <c r="S19" s="43">
        <v>0</v>
      </c>
      <c r="T19" s="43">
        <v>787727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43" ht="14.4" x14ac:dyDescent="0.3">
      <c r="A20" s="42">
        <v>1995</v>
      </c>
      <c r="B20" s="43">
        <v>107961</v>
      </c>
      <c r="C20" s="43">
        <v>0</v>
      </c>
      <c r="D20" s="43">
        <v>24</v>
      </c>
      <c r="E20" s="43">
        <v>1279</v>
      </c>
      <c r="F20" s="43">
        <v>497</v>
      </c>
      <c r="G20" s="43">
        <v>30943</v>
      </c>
      <c r="H20" s="43">
        <v>27553</v>
      </c>
      <c r="I20" s="43">
        <v>0</v>
      </c>
      <c r="J20" s="43">
        <v>47482</v>
      </c>
      <c r="K20" s="43">
        <v>455680</v>
      </c>
      <c r="L20" s="43">
        <v>0</v>
      </c>
      <c r="M20" s="43">
        <v>860</v>
      </c>
      <c r="N20" s="43">
        <v>147895</v>
      </c>
      <c r="O20" s="43">
        <v>32</v>
      </c>
      <c r="P20" s="43">
        <v>0</v>
      </c>
      <c r="Q20" s="43">
        <v>1149</v>
      </c>
      <c r="R20" s="43">
        <v>351</v>
      </c>
      <c r="S20" s="43">
        <v>0</v>
      </c>
      <c r="T20" s="43">
        <v>713745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43" ht="14.4" x14ac:dyDescent="0.3">
      <c r="A21" s="42">
        <v>1996</v>
      </c>
      <c r="B21" s="43">
        <v>119629</v>
      </c>
      <c r="C21" s="43">
        <v>0</v>
      </c>
      <c r="D21" s="43">
        <v>217</v>
      </c>
      <c r="E21" s="43">
        <v>1208</v>
      </c>
      <c r="F21" s="43">
        <v>1287</v>
      </c>
      <c r="G21" s="43">
        <v>37755</v>
      </c>
      <c r="H21" s="43">
        <v>8026</v>
      </c>
      <c r="I21" s="43">
        <v>32</v>
      </c>
      <c r="J21" s="43">
        <v>15639</v>
      </c>
      <c r="K21" s="43">
        <v>271516</v>
      </c>
      <c r="L21" s="43">
        <v>0</v>
      </c>
      <c r="M21" s="43">
        <v>301</v>
      </c>
      <c r="N21" s="43">
        <v>143781</v>
      </c>
      <c r="O21" s="43">
        <v>19931</v>
      </c>
      <c r="P21" s="43">
        <v>0</v>
      </c>
      <c r="Q21" s="43">
        <v>423</v>
      </c>
      <c r="R21" s="43">
        <v>2901</v>
      </c>
      <c r="S21" s="43">
        <v>0</v>
      </c>
      <c r="T21" s="43">
        <v>503017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43" ht="14.4" x14ac:dyDescent="0.3">
      <c r="A22" s="42">
        <v>1997</v>
      </c>
      <c r="B22" s="43">
        <v>145311</v>
      </c>
      <c r="C22" s="43">
        <v>0</v>
      </c>
      <c r="D22" s="43">
        <v>0</v>
      </c>
      <c r="E22" s="43">
        <v>527</v>
      </c>
      <c r="F22" s="43">
        <v>1095</v>
      </c>
      <c r="G22" s="43">
        <v>5718</v>
      </c>
      <c r="H22" s="43">
        <v>28904</v>
      </c>
      <c r="I22" s="43">
        <v>50</v>
      </c>
      <c r="J22" s="43">
        <v>2606</v>
      </c>
      <c r="K22" s="43">
        <v>198531</v>
      </c>
      <c r="L22" s="43">
        <v>201</v>
      </c>
      <c r="M22" s="43">
        <v>196</v>
      </c>
      <c r="N22" s="43">
        <v>103653</v>
      </c>
      <c r="O22" s="43">
        <v>7179</v>
      </c>
      <c r="P22" s="43">
        <v>0</v>
      </c>
      <c r="Q22" s="43">
        <v>0</v>
      </c>
      <c r="R22" s="43">
        <v>10</v>
      </c>
      <c r="S22" s="43">
        <v>0</v>
      </c>
      <c r="T22" s="43">
        <v>348670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43" ht="14.4" x14ac:dyDescent="0.3">
      <c r="A23" s="42">
        <v>1998</v>
      </c>
      <c r="B23" s="43">
        <v>193420</v>
      </c>
      <c r="C23" s="43">
        <v>0</v>
      </c>
      <c r="D23" s="43">
        <v>2749</v>
      </c>
      <c r="E23" s="43">
        <v>202</v>
      </c>
      <c r="F23" s="43">
        <v>1549</v>
      </c>
      <c r="G23" s="43">
        <v>13224</v>
      </c>
      <c r="H23" s="43">
        <v>10321</v>
      </c>
      <c r="I23" s="43">
        <v>0</v>
      </c>
      <c r="J23" s="43">
        <v>13915</v>
      </c>
      <c r="K23" s="43">
        <v>163150</v>
      </c>
      <c r="L23" s="43">
        <v>0</v>
      </c>
      <c r="M23" s="43">
        <v>0</v>
      </c>
      <c r="N23" s="43">
        <v>20433</v>
      </c>
      <c r="O23" s="43">
        <v>375</v>
      </c>
      <c r="P23" s="43">
        <v>0</v>
      </c>
      <c r="Q23" s="43">
        <v>139</v>
      </c>
      <c r="R23" s="43">
        <v>25</v>
      </c>
      <c r="S23" s="43">
        <v>0</v>
      </c>
      <c r="T23" s="43">
        <v>226082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43" ht="14.4" x14ac:dyDescent="0.3">
      <c r="A24" s="42">
        <v>1999</v>
      </c>
      <c r="B24" s="43">
        <v>127890</v>
      </c>
      <c r="C24" s="43">
        <v>211</v>
      </c>
      <c r="D24" s="43">
        <v>2058</v>
      </c>
      <c r="E24" s="43">
        <v>347</v>
      </c>
      <c r="F24" s="43">
        <v>1316</v>
      </c>
      <c r="G24" s="43">
        <v>5837</v>
      </c>
      <c r="H24" s="43">
        <v>27362</v>
      </c>
      <c r="I24" s="43">
        <v>0</v>
      </c>
      <c r="J24" s="43">
        <v>1592</v>
      </c>
      <c r="K24" s="43">
        <v>42043</v>
      </c>
      <c r="L24" s="43">
        <v>0</v>
      </c>
      <c r="M24" s="43">
        <v>520</v>
      </c>
      <c r="N24" s="43">
        <v>32175</v>
      </c>
      <c r="O24" s="43">
        <v>69</v>
      </c>
      <c r="P24" s="43">
        <v>0</v>
      </c>
      <c r="Q24" s="43">
        <v>579</v>
      </c>
      <c r="R24" s="43">
        <v>11</v>
      </c>
      <c r="S24" s="43">
        <v>0</v>
      </c>
      <c r="T24" s="43">
        <v>114120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43" ht="14.4" x14ac:dyDescent="0.3">
      <c r="A25" s="42">
        <v>2000</v>
      </c>
      <c r="B25" s="43">
        <v>90947</v>
      </c>
      <c r="C25" s="43">
        <v>15</v>
      </c>
      <c r="D25" s="43">
        <v>722</v>
      </c>
      <c r="E25" s="43">
        <v>7625</v>
      </c>
      <c r="F25" s="43">
        <v>225</v>
      </c>
      <c r="G25" s="43">
        <v>15160</v>
      </c>
      <c r="H25" s="43">
        <v>7762</v>
      </c>
      <c r="I25" s="43">
        <v>69</v>
      </c>
      <c r="J25" s="43">
        <v>78873</v>
      </c>
      <c r="K25" s="43">
        <v>491468</v>
      </c>
      <c r="L25" s="43">
        <v>0</v>
      </c>
      <c r="M25" s="43">
        <v>1916</v>
      </c>
      <c r="N25" s="43">
        <v>134683</v>
      </c>
      <c r="O25" s="43">
        <v>339</v>
      </c>
      <c r="P25" s="43">
        <v>0</v>
      </c>
      <c r="Q25" s="43">
        <v>1062</v>
      </c>
      <c r="R25" s="43">
        <v>837</v>
      </c>
      <c r="S25" s="43">
        <v>0</v>
      </c>
      <c r="T25" s="43">
        <v>740756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 s="45"/>
      <c r="AL25" s="45"/>
      <c r="AM25" s="45"/>
      <c r="AN25" s="45"/>
      <c r="AO25" s="45"/>
      <c r="AP25" s="45"/>
      <c r="AQ25" s="45"/>
    </row>
    <row r="26" spans="1:43" ht="14.4" x14ac:dyDescent="0.3">
      <c r="A26" s="42">
        <v>2001</v>
      </c>
      <c r="B26" s="43">
        <v>122505</v>
      </c>
      <c r="C26" s="43">
        <v>134</v>
      </c>
      <c r="D26" s="43">
        <v>921</v>
      </c>
      <c r="E26" s="43">
        <v>540</v>
      </c>
      <c r="F26" s="43">
        <v>3355</v>
      </c>
      <c r="G26" s="43">
        <v>14271</v>
      </c>
      <c r="H26" s="43">
        <v>10434</v>
      </c>
      <c r="I26" s="43">
        <v>106</v>
      </c>
      <c r="J26" s="43">
        <v>41740</v>
      </c>
      <c r="K26" s="43">
        <v>203429</v>
      </c>
      <c r="L26" s="43">
        <v>0</v>
      </c>
      <c r="M26" s="43">
        <v>816</v>
      </c>
      <c r="N26" s="43">
        <v>124321</v>
      </c>
      <c r="O26" s="43">
        <v>5</v>
      </c>
      <c r="P26" s="43">
        <v>0</v>
      </c>
      <c r="Q26" s="43">
        <v>1670</v>
      </c>
      <c r="R26" s="43">
        <v>0</v>
      </c>
      <c r="S26" s="43">
        <v>0</v>
      </c>
      <c r="T26" s="43">
        <v>401742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 s="45"/>
      <c r="AL26" s="45"/>
      <c r="AM26" s="45"/>
      <c r="AN26" s="45"/>
      <c r="AO26" s="45"/>
      <c r="AP26" s="45"/>
      <c r="AQ26" s="45"/>
    </row>
    <row r="27" spans="1:43" ht="14.4" x14ac:dyDescent="0.3">
      <c r="A27" s="42">
        <v>2002</v>
      </c>
      <c r="B27" s="43">
        <v>95520</v>
      </c>
      <c r="C27" s="43">
        <v>11</v>
      </c>
      <c r="D27" s="43">
        <v>7476</v>
      </c>
      <c r="E27" s="43">
        <v>6420</v>
      </c>
      <c r="F27" s="43">
        <v>2354</v>
      </c>
      <c r="G27" s="43">
        <v>137064</v>
      </c>
      <c r="H27" s="43">
        <v>15417</v>
      </c>
      <c r="I27" s="43">
        <v>104</v>
      </c>
      <c r="J27" s="43">
        <v>150956</v>
      </c>
      <c r="K27" s="43">
        <v>584702</v>
      </c>
      <c r="L27" s="43">
        <v>0</v>
      </c>
      <c r="M27" s="43">
        <v>1123</v>
      </c>
      <c r="N27" s="43">
        <v>136306</v>
      </c>
      <c r="O27" s="43">
        <v>0</v>
      </c>
      <c r="P27" s="43">
        <v>0</v>
      </c>
      <c r="Q27" s="43">
        <v>234</v>
      </c>
      <c r="R27" s="43">
        <v>0</v>
      </c>
      <c r="S27" s="43">
        <v>0</v>
      </c>
      <c r="T27" s="43">
        <v>1042167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 s="45"/>
      <c r="AL27" s="45"/>
      <c r="AM27" s="45"/>
      <c r="AN27" s="45"/>
      <c r="AO27" s="45"/>
      <c r="AP27" s="45"/>
      <c r="AQ27" s="45"/>
    </row>
    <row r="28" spans="1:43" ht="14.4" x14ac:dyDescent="0.3">
      <c r="A28" s="42">
        <v>2003</v>
      </c>
      <c r="B28" s="43">
        <v>139799</v>
      </c>
      <c r="C28" s="46">
        <v>221</v>
      </c>
      <c r="D28" s="46">
        <v>2665</v>
      </c>
      <c r="E28" s="46">
        <v>4320</v>
      </c>
      <c r="F28" s="46">
        <v>2046</v>
      </c>
      <c r="G28" s="46">
        <v>62296</v>
      </c>
      <c r="H28" s="46">
        <v>17103</v>
      </c>
      <c r="I28" s="46">
        <v>0</v>
      </c>
      <c r="J28" s="46">
        <v>230760</v>
      </c>
      <c r="K28" s="46">
        <v>436775</v>
      </c>
      <c r="L28" s="46">
        <v>0</v>
      </c>
      <c r="M28" s="47">
        <v>1840.760612</v>
      </c>
      <c r="N28" s="47">
        <v>145171.47020099999</v>
      </c>
      <c r="O28" s="47">
        <v>232.771421</v>
      </c>
      <c r="P28" s="46">
        <v>0</v>
      </c>
      <c r="Q28" s="46">
        <v>0</v>
      </c>
      <c r="R28" s="46">
        <v>0</v>
      </c>
      <c r="S28" s="46">
        <v>0</v>
      </c>
      <c r="T28" s="43">
        <v>903431.00223400001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 s="45"/>
      <c r="AL28" s="45"/>
      <c r="AM28" s="45"/>
      <c r="AN28" s="45"/>
      <c r="AO28" s="45"/>
      <c r="AP28" s="45"/>
      <c r="AQ28" s="45"/>
    </row>
    <row r="29" spans="1:43" ht="14.4" x14ac:dyDescent="0.3">
      <c r="A29" s="42">
        <v>2004</v>
      </c>
      <c r="B29" s="43">
        <v>80435</v>
      </c>
      <c r="C29" s="43">
        <v>0</v>
      </c>
      <c r="D29" s="43">
        <v>0</v>
      </c>
      <c r="E29" s="43">
        <v>1171</v>
      </c>
      <c r="F29" s="43">
        <v>5012</v>
      </c>
      <c r="G29" s="43">
        <v>51056</v>
      </c>
      <c r="H29" s="43">
        <v>9458</v>
      </c>
      <c r="I29" s="43">
        <v>0</v>
      </c>
      <c r="J29" s="43">
        <v>24643</v>
      </c>
      <c r="K29" s="43">
        <v>115873</v>
      </c>
      <c r="L29" s="43">
        <v>0</v>
      </c>
      <c r="M29" s="43">
        <v>174</v>
      </c>
      <c r="N29" s="43">
        <v>85731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293118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 s="45"/>
      <c r="AL29" s="45"/>
      <c r="AM29" s="45"/>
      <c r="AN29" s="45"/>
      <c r="AO29" s="45"/>
      <c r="AP29" s="45"/>
      <c r="AQ29" s="45"/>
    </row>
    <row r="30" spans="1:43" ht="14.4" x14ac:dyDescent="0.3">
      <c r="A30" s="42">
        <v>2005</v>
      </c>
      <c r="B30" s="43">
        <v>221752</v>
      </c>
      <c r="C30" s="43">
        <v>0</v>
      </c>
      <c r="D30" s="43">
        <v>0</v>
      </c>
      <c r="E30" s="43">
        <v>419</v>
      </c>
      <c r="F30" s="43">
        <v>0</v>
      </c>
      <c r="G30" s="43">
        <v>6422</v>
      </c>
      <c r="H30" s="43">
        <v>9871</v>
      </c>
      <c r="I30" s="43">
        <v>0</v>
      </c>
      <c r="J30" s="43">
        <v>63392</v>
      </c>
      <c r="K30" s="43">
        <v>260270</v>
      </c>
      <c r="L30" s="43">
        <v>0</v>
      </c>
      <c r="M30" s="43">
        <v>0</v>
      </c>
      <c r="N30" s="43">
        <v>117166</v>
      </c>
      <c r="O30" s="43">
        <v>27</v>
      </c>
      <c r="P30" s="43">
        <v>0</v>
      </c>
      <c r="Q30" s="43">
        <v>0</v>
      </c>
      <c r="R30" s="43">
        <v>70</v>
      </c>
      <c r="S30" s="43">
        <v>0</v>
      </c>
      <c r="T30" s="43">
        <v>457637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 s="45"/>
      <c r="AL30" s="45"/>
      <c r="AM30" s="45"/>
      <c r="AN30" s="45"/>
      <c r="AO30" s="45"/>
      <c r="AP30" s="45"/>
      <c r="AQ30" s="45"/>
    </row>
    <row r="31" spans="1:43" ht="14.4" x14ac:dyDescent="0.3">
      <c r="A31" s="42">
        <v>2006</v>
      </c>
      <c r="B31" s="43">
        <v>182005</v>
      </c>
      <c r="C31" s="43">
        <v>0</v>
      </c>
      <c r="D31" s="43">
        <v>0</v>
      </c>
      <c r="E31" s="43">
        <v>0</v>
      </c>
      <c r="F31" s="43">
        <v>346</v>
      </c>
      <c r="G31" s="43">
        <v>27840</v>
      </c>
      <c r="H31" s="43">
        <v>3337</v>
      </c>
      <c r="I31" s="43">
        <v>0</v>
      </c>
      <c r="J31" s="43">
        <v>50692</v>
      </c>
      <c r="K31" s="43">
        <v>33869</v>
      </c>
      <c r="L31" s="43">
        <v>135</v>
      </c>
      <c r="M31" s="43">
        <v>0</v>
      </c>
      <c r="N31" s="43">
        <v>21657</v>
      </c>
      <c r="O31" s="43">
        <v>10994</v>
      </c>
      <c r="P31" s="43">
        <v>0</v>
      </c>
      <c r="Q31" s="43">
        <v>543</v>
      </c>
      <c r="R31" s="43">
        <v>1320</v>
      </c>
      <c r="S31" s="43">
        <v>0</v>
      </c>
      <c r="T31" s="43">
        <v>150733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 s="45"/>
      <c r="AL31" s="45"/>
      <c r="AM31" s="45"/>
      <c r="AN31" s="45"/>
      <c r="AO31" s="45"/>
      <c r="AP31" s="45"/>
      <c r="AQ31" s="45"/>
    </row>
    <row r="32" spans="1:43" ht="14.4" x14ac:dyDescent="0.3">
      <c r="A32" s="42">
        <v>2007</v>
      </c>
      <c r="B32" s="43">
        <v>224767</v>
      </c>
      <c r="C32" s="43">
        <v>0</v>
      </c>
      <c r="D32" s="43">
        <v>0</v>
      </c>
      <c r="E32" s="43">
        <v>1753</v>
      </c>
      <c r="F32" s="43">
        <v>0</v>
      </c>
      <c r="G32" s="43">
        <v>4504</v>
      </c>
      <c r="H32" s="43">
        <v>2348</v>
      </c>
      <c r="I32" s="43">
        <v>0</v>
      </c>
      <c r="J32" s="43">
        <v>16311</v>
      </c>
      <c r="K32" s="43">
        <v>56893</v>
      </c>
      <c r="L32" s="43">
        <v>0</v>
      </c>
      <c r="M32" s="43">
        <v>35</v>
      </c>
      <c r="N32" s="43">
        <v>33983</v>
      </c>
      <c r="O32" s="43">
        <v>1456</v>
      </c>
      <c r="P32" s="43">
        <v>0</v>
      </c>
      <c r="Q32" s="43">
        <v>625</v>
      </c>
      <c r="R32" s="43">
        <v>851</v>
      </c>
      <c r="S32" s="43">
        <v>0</v>
      </c>
      <c r="T32" s="43">
        <v>118759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 s="45"/>
      <c r="AL32" s="45"/>
      <c r="AM32" s="45"/>
      <c r="AN32" s="45"/>
      <c r="AO32" s="45"/>
      <c r="AP32" s="45"/>
      <c r="AQ32" s="45"/>
    </row>
    <row r="33" spans="1:43" ht="14.4" x14ac:dyDescent="0.3">
      <c r="A33" s="42">
        <v>2008</v>
      </c>
      <c r="B33" s="43">
        <v>195474</v>
      </c>
      <c r="C33" s="43">
        <v>0</v>
      </c>
      <c r="D33" s="43">
        <v>0</v>
      </c>
      <c r="E33" s="43">
        <v>1366</v>
      </c>
      <c r="F33" s="43">
        <v>0</v>
      </c>
      <c r="G33" s="43">
        <v>1394</v>
      </c>
      <c r="H33" s="43">
        <v>8315</v>
      </c>
      <c r="I33" s="43">
        <v>0</v>
      </c>
      <c r="J33" s="43">
        <v>10494</v>
      </c>
      <c r="K33" s="43">
        <v>224569</v>
      </c>
      <c r="L33" s="43">
        <v>0</v>
      </c>
      <c r="M33" s="43">
        <v>17</v>
      </c>
      <c r="N33" s="43">
        <v>71361</v>
      </c>
      <c r="O33" s="43">
        <v>2015</v>
      </c>
      <c r="P33" s="43">
        <v>0</v>
      </c>
      <c r="Q33" s="43">
        <v>0</v>
      </c>
      <c r="R33" s="43">
        <v>489</v>
      </c>
      <c r="S33" s="43">
        <v>0</v>
      </c>
      <c r="T33" s="43">
        <v>320020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 s="45"/>
      <c r="AL33" s="45"/>
      <c r="AM33" s="45"/>
      <c r="AN33" s="45"/>
      <c r="AO33" s="45"/>
      <c r="AP33" s="45"/>
      <c r="AQ33" s="45"/>
    </row>
    <row r="34" spans="1:43" ht="14.4" x14ac:dyDescent="0.3">
      <c r="A34" s="42">
        <v>2009</v>
      </c>
      <c r="B34" s="43">
        <v>133263</v>
      </c>
      <c r="C34" s="43">
        <v>0</v>
      </c>
      <c r="D34" s="43">
        <v>0</v>
      </c>
      <c r="E34" s="43">
        <v>807</v>
      </c>
      <c r="F34" s="43">
        <v>0</v>
      </c>
      <c r="G34" s="43">
        <v>12396</v>
      </c>
      <c r="H34" s="43">
        <v>14650</v>
      </c>
      <c r="I34" s="43">
        <v>0</v>
      </c>
      <c r="J34" s="43">
        <v>9667</v>
      </c>
      <c r="K34" s="43">
        <v>367576</v>
      </c>
      <c r="L34" s="43">
        <v>0</v>
      </c>
      <c r="M34" s="43">
        <v>0</v>
      </c>
      <c r="N34" s="43">
        <v>110111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515207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 s="45"/>
      <c r="AL34" s="45"/>
      <c r="AM34" s="45"/>
      <c r="AN34" s="45"/>
      <c r="AO34" s="45"/>
      <c r="AP34" s="45"/>
      <c r="AQ34" s="45"/>
    </row>
    <row r="35" spans="1:43" ht="14.4" x14ac:dyDescent="0.3">
      <c r="A35" s="42">
        <v>2010</v>
      </c>
      <c r="B35" s="43">
        <v>142966</v>
      </c>
      <c r="C35" s="43">
        <v>0</v>
      </c>
      <c r="D35" s="43">
        <v>0</v>
      </c>
      <c r="E35" s="43">
        <v>0</v>
      </c>
      <c r="F35" s="43">
        <v>159</v>
      </c>
      <c r="G35" s="43">
        <v>7333</v>
      </c>
      <c r="H35" s="43">
        <v>10439</v>
      </c>
      <c r="I35" s="43">
        <v>0</v>
      </c>
      <c r="J35" s="43">
        <v>2538</v>
      </c>
      <c r="K35" s="43">
        <v>417546</v>
      </c>
      <c r="L35" s="43">
        <v>0</v>
      </c>
      <c r="M35" s="43">
        <v>0</v>
      </c>
      <c r="N35" s="43">
        <v>78302</v>
      </c>
      <c r="O35" s="43">
        <v>630</v>
      </c>
      <c r="P35" s="43">
        <v>0</v>
      </c>
      <c r="Q35" s="43">
        <v>0</v>
      </c>
      <c r="R35" s="43">
        <v>0</v>
      </c>
      <c r="S35" s="43">
        <v>0</v>
      </c>
      <c r="T35" s="43">
        <v>516947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 s="45"/>
      <c r="AL35" s="45"/>
      <c r="AM35" s="45"/>
      <c r="AN35" s="45"/>
      <c r="AO35" s="45"/>
      <c r="AP35" s="45"/>
      <c r="AQ35" s="45"/>
    </row>
    <row r="36" spans="1:43" ht="14.4" x14ac:dyDescent="0.3">
      <c r="A36" s="42">
        <v>2011</v>
      </c>
      <c r="B36" s="48">
        <v>132549</v>
      </c>
      <c r="C36" s="43">
        <v>0</v>
      </c>
      <c r="D36" s="43">
        <v>0</v>
      </c>
      <c r="E36" s="43">
        <v>238</v>
      </c>
      <c r="F36" s="43">
        <v>0</v>
      </c>
      <c r="G36" s="43">
        <v>8809</v>
      </c>
      <c r="H36" s="43">
        <v>32542</v>
      </c>
      <c r="I36" s="43">
        <v>0</v>
      </c>
      <c r="J36" s="43">
        <v>9597</v>
      </c>
      <c r="K36" s="43">
        <v>184773</v>
      </c>
      <c r="L36" s="43">
        <v>0</v>
      </c>
      <c r="M36" s="43">
        <v>0</v>
      </c>
      <c r="N36" s="43">
        <v>75190.960000000006</v>
      </c>
      <c r="O36" s="43">
        <v>0</v>
      </c>
      <c r="P36" s="43">
        <v>0</v>
      </c>
      <c r="Q36" s="43">
        <v>296.44181771817722</v>
      </c>
      <c r="R36" s="43">
        <v>0</v>
      </c>
      <c r="S36" s="43">
        <v>0</v>
      </c>
      <c r="T36" s="43">
        <v>311446.40181771817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 s="45"/>
      <c r="AL36" s="45"/>
      <c r="AM36" s="45"/>
      <c r="AN36" s="45"/>
      <c r="AO36" s="45"/>
      <c r="AP36" s="45"/>
      <c r="AQ36" s="45"/>
    </row>
    <row r="37" spans="1:43" ht="14.4" x14ac:dyDescent="0.3">
      <c r="A37" s="42">
        <v>2012</v>
      </c>
      <c r="B37" s="48">
        <v>116442</v>
      </c>
      <c r="C37" s="43">
        <v>0</v>
      </c>
      <c r="D37" s="43">
        <v>0</v>
      </c>
      <c r="E37" s="43">
        <v>666</v>
      </c>
      <c r="F37" s="43">
        <v>0</v>
      </c>
      <c r="G37" s="43">
        <v>7204</v>
      </c>
      <c r="H37" s="43">
        <v>9401</v>
      </c>
      <c r="I37" s="43">
        <v>0</v>
      </c>
      <c r="J37" s="43">
        <v>8584.48</v>
      </c>
      <c r="K37" s="43">
        <v>77007.56</v>
      </c>
      <c r="L37" s="43">
        <v>0</v>
      </c>
      <c r="M37" s="43">
        <v>0</v>
      </c>
      <c r="N37" s="43">
        <v>114960.96127042272</v>
      </c>
      <c r="O37" s="43">
        <v>0</v>
      </c>
      <c r="P37" s="43">
        <v>0</v>
      </c>
      <c r="Q37" s="43">
        <v>0</v>
      </c>
      <c r="R37" s="43">
        <v>792.89016000000004</v>
      </c>
      <c r="S37" s="43">
        <v>0</v>
      </c>
      <c r="T37" s="43">
        <v>218616.89143042272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 s="45"/>
      <c r="AL37" s="45"/>
      <c r="AM37" s="45"/>
      <c r="AN37" s="45"/>
      <c r="AO37" s="45"/>
      <c r="AP37" s="45"/>
      <c r="AQ37" s="45"/>
    </row>
    <row r="38" spans="1:43" ht="14.4" x14ac:dyDescent="0.3">
      <c r="A38" s="42">
        <v>2013</v>
      </c>
      <c r="B38" s="48">
        <v>196926</v>
      </c>
      <c r="C38" s="43">
        <v>0</v>
      </c>
      <c r="D38" s="43">
        <v>0</v>
      </c>
      <c r="E38" s="43">
        <v>43356</v>
      </c>
      <c r="F38" s="43">
        <v>0</v>
      </c>
      <c r="G38" s="43">
        <v>142869.69</v>
      </c>
      <c r="H38" s="43">
        <v>16981.8</v>
      </c>
      <c r="I38" s="43">
        <v>0</v>
      </c>
      <c r="J38" s="43">
        <v>199651.60743821223</v>
      </c>
      <c r="K38" s="43">
        <v>352758.65184378921</v>
      </c>
      <c r="L38" s="43">
        <v>0</v>
      </c>
      <c r="M38" s="43">
        <v>107.71699</v>
      </c>
      <c r="N38" s="43">
        <v>107789.93293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863515.39920200151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 s="45"/>
      <c r="AL38" s="45"/>
      <c r="AM38" s="45"/>
      <c r="AN38" s="45"/>
      <c r="AO38" s="45"/>
      <c r="AP38" s="45"/>
      <c r="AQ38" s="45"/>
    </row>
    <row r="39" spans="1:43" ht="14.4" x14ac:dyDescent="0.3">
      <c r="A39" s="42">
        <v>2014</v>
      </c>
      <c r="B39" s="48">
        <v>208459</v>
      </c>
      <c r="C39" s="43">
        <v>0</v>
      </c>
      <c r="D39" s="43">
        <v>0</v>
      </c>
      <c r="E39" s="43">
        <v>7319.47</v>
      </c>
      <c r="F39" s="43">
        <v>0</v>
      </c>
      <c r="G39" s="43">
        <v>93514.093157984564</v>
      </c>
      <c r="H39" s="43">
        <v>8763.3653156731561</v>
      </c>
      <c r="I39" s="43">
        <v>0</v>
      </c>
      <c r="J39" s="43">
        <v>54500.122949999997</v>
      </c>
      <c r="K39" s="43">
        <v>186610.96331000002</v>
      </c>
      <c r="L39" s="43">
        <v>0</v>
      </c>
      <c r="M39" s="43">
        <v>0</v>
      </c>
      <c r="N39" s="43">
        <v>70586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421294.01473365771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 s="45"/>
      <c r="AL39" s="45"/>
      <c r="AM39" s="45"/>
      <c r="AN39" s="45"/>
      <c r="AO39" s="45"/>
      <c r="AP39" s="45"/>
      <c r="AQ39" s="45"/>
    </row>
    <row r="40" spans="1:43" ht="14.4" x14ac:dyDescent="0.3">
      <c r="A40" s="42">
        <v>2015</v>
      </c>
      <c r="B40" s="48">
        <v>201664</v>
      </c>
      <c r="C40" s="43">
        <v>0</v>
      </c>
      <c r="D40" s="43">
        <v>0</v>
      </c>
      <c r="E40" s="43">
        <v>12744.474314623147</v>
      </c>
      <c r="F40" s="43">
        <v>0</v>
      </c>
      <c r="G40" s="43">
        <v>87604.347219999996</v>
      </c>
      <c r="H40" s="43">
        <v>8045.1373000000003</v>
      </c>
      <c r="I40" s="43">
        <v>0</v>
      </c>
      <c r="J40" s="43">
        <v>69092</v>
      </c>
      <c r="K40" s="43">
        <v>185934</v>
      </c>
      <c r="L40" s="43">
        <v>0</v>
      </c>
      <c r="M40" s="43">
        <v>0</v>
      </c>
      <c r="N40" s="43">
        <v>42439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405858.95883462316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 s="45"/>
      <c r="AL40" s="45"/>
      <c r="AM40" s="45"/>
      <c r="AN40" s="45"/>
      <c r="AO40" s="45"/>
      <c r="AP40" s="45"/>
      <c r="AQ40" s="45"/>
    </row>
    <row r="41" spans="1:43" ht="14.4" x14ac:dyDescent="0.3">
      <c r="A41" s="42">
        <v>2016</v>
      </c>
      <c r="B41" s="48">
        <v>139720</v>
      </c>
      <c r="C41" s="43">
        <v>0</v>
      </c>
      <c r="D41" s="43">
        <v>0</v>
      </c>
      <c r="E41" s="43">
        <v>3575.2478000000001</v>
      </c>
      <c r="F41" s="43">
        <v>0</v>
      </c>
      <c r="G41" s="43">
        <v>28758</v>
      </c>
      <c r="H41" s="43">
        <v>5372</v>
      </c>
      <c r="I41" s="43">
        <v>0</v>
      </c>
      <c r="J41" s="43">
        <v>63806</v>
      </c>
      <c r="K41" s="43">
        <v>104082</v>
      </c>
      <c r="L41" s="43">
        <v>0</v>
      </c>
      <c r="M41" s="43">
        <v>759</v>
      </c>
      <c r="N41" s="43">
        <v>42376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 s="45"/>
      <c r="AL41" s="45"/>
      <c r="AM41" s="45"/>
      <c r="AN41" s="45"/>
      <c r="AO41" s="45"/>
      <c r="AP41" s="45"/>
      <c r="AQ41" s="45"/>
    </row>
    <row r="42" spans="1:43" ht="14.4" x14ac:dyDescent="0.3">
      <c r="A42" s="42">
        <v>2017</v>
      </c>
      <c r="B42" s="48">
        <v>214160</v>
      </c>
      <c r="C42" s="43">
        <v>0</v>
      </c>
      <c r="D42" s="43">
        <v>0</v>
      </c>
      <c r="E42" s="43">
        <v>8992</v>
      </c>
      <c r="F42" s="43">
        <v>0</v>
      </c>
      <c r="G42" s="43">
        <v>151732</v>
      </c>
      <c r="H42" s="43">
        <v>5244</v>
      </c>
      <c r="I42" s="43">
        <v>0</v>
      </c>
      <c r="J42" s="43">
        <v>63711</v>
      </c>
      <c r="K42" s="43">
        <v>103901</v>
      </c>
      <c r="L42" s="43">
        <v>0</v>
      </c>
      <c r="M42" s="43">
        <v>0</v>
      </c>
      <c r="N42" s="43">
        <v>23422.330829999999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 s="45"/>
      <c r="AL42" s="45"/>
      <c r="AM42" s="45"/>
      <c r="AN42" s="45"/>
      <c r="AO42" s="45"/>
      <c r="AP42" s="45"/>
      <c r="AQ42" s="45"/>
    </row>
    <row r="43" spans="1:43" ht="14.4" x14ac:dyDescent="0.3">
      <c r="A43" s="42">
        <v>2018</v>
      </c>
      <c r="B43" s="48">
        <v>232907</v>
      </c>
      <c r="C43" s="43">
        <v>0</v>
      </c>
      <c r="D43" s="43">
        <v>0</v>
      </c>
      <c r="E43" s="43">
        <v>8502</v>
      </c>
      <c r="F43" s="43">
        <v>0</v>
      </c>
      <c r="G43" s="43">
        <v>151485</v>
      </c>
      <c r="H43" s="43">
        <v>5234</v>
      </c>
      <c r="I43" s="43">
        <v>0</v>
      </c>
      <c r="J43" s="43">
        <v>117155.43738999999</v>
      </c>
      <c r="K43" s="43">
        <v>47268.197220000002</v>
      </c>
      <c r="L43" s="43">
        <v>0</v>
      </c>
      <c r="M43" s="43">
        <v>386</v>
      </c>
      <c r="N43" s="43">
        <v>9085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 s="45"/>
      <c r="AL43" s="45"/>
      <c r="AM43" s="45"/>
      <c r="AN43" s="45"/>
      <c r="AO43" s="45"/>
      <c r="AP43" s="45"/>
      <c r="AQ43" s="45"/>
    </row>
    <row r="44" spans="1:43" ht="14.4" x14ac:dyDescent="0.3">
      <c r="A44" s="42">
        <v>2019</v>
      </c>
      <c r="B44" s="48">
        <v>205273</v>
      </c>
      <c r="C44" s="43">
        <v>0</v>
      </c>
      <c r="D44" s="43">
        <v>0</v>
      </c>
      <c r="E44" s="43">
        <v>8487</v>
      </c>
      <c r="F44" s="43">
        <v>0</v>
      </c>
      <c r="G44" s="43">
        <v>55100</v>
      </c>
      <c r="H44" s="43">
        <v>0</v>
      </c>
      <c r="I44" s="43">
        <v>0</v>
      </c>
      <c r="J44" s="43">
        <v>102669</v>
      </c>
      <c r="K44" s="43">
        <v>29340</v>
      </c>
      <c r="L44" s="43">
        <v>0</v>
      </c>
      <c r="M44" s="43">
        <v>0</v>
      </c>
      <c r="N44" s="43">
        <v>6102</v>
      </c>
      <c r="O44" s="43">
        <v>0</v>
      </c>
      <c r="P44" s="43">
        <v>0</v>
      </c>
      <c r="Q44" s="43">
        <v>0</v>
      </c>
      <c r="R44" s="43">
        <v>0</v>
      </c>
      <c r="S44" s="43"/>
      <c r="T44" s="43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 s="45"/>
      <c r="AL44" s="45"/>
      <c r="AM44" s="45"/>
      <c r="AN44" s="45"/>
      <c r="AO44" s="45"/>
      <c r="AP44" s="45"/>
      <c r="AQ44" s="45"/>
    </row>
    <row r="45" spans="1:43" ht="14.4" x14ac:dyDescent="0.3">
      <c r="A45" s="68">
        <v>2020</v>
      </c>
      <c r="B45" s="69">
        <v>200802</v>
      </c>
      <c r="C45" s="70">
        <v>0</v>
      </c>
      <c r="D45" s="70">
        <v>0</v>
      </c>
      <c r="E45" s="70">
        <v>6005</v>
      </c>
      <c r="F45" s="70">
        <v>0</v>
      </c>
      <c r="G45" s="70">
        <v>41375</v>
      </c>
      <c r="H45" s="70">
        <v>4334</v>
      </c>
      <c r="I45" s="70">
        <v>0</v>
      </c>
      <c r="J45" s="70">
        <v>78429</v>
      </c>
      <c r="K45" s="70">
        <v>54030</v>
      </c>
      <c r="L45" s="70">
        <v>0</v>
      </c>
      <c r="M45" s="70">
        <v>351</v>
      </c>
      <c r="N45" s="70">
        <v>3986</v>
      </c>
      <c r="O45" s="70">
        <v>0</v>
      </c>
      <c r="P45" s="70"/>
      <c r="Q45" s="70"/>
      <c r="R45" s="70"/>
      <c r="S45" s="70"/>
      <c r="T45" s="70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 s="45"/>
      <c r="AL45" s="45"/>
      <c r="AM45" s="45"/>
      <c r="AN45" s="45"/>
      <c r="AO45" s="45"/>
      <c r="AP45" s="45"/>
      <c r="AQ45" s="45"/>
    </row>
    <row r="46" spans="1:43" ht="14.4" x14ac:dyDescent="0.3">
      <c r="A46" s="68">
        <v>2021</v>
      </c>
      <c r="B46" s="69">
        <v>192760</v>
      </c>
      <c r="C46" s="70">
        <v>0</v>
      </c>
      <c r="D46" s="70">
        <v>0</v>
      </c>
      <c r="E46" s="70">
        <v>17906</v>
      </c>
      <c r="F46" s="70">
        <v>0</v>
      </c>
      <c r="G46" s="70">
        <v>198586</v>
      </c>
      <c r="H46" s="70">
        <v>994</v>
      </c>
      <c r="I46" s="70">
        <v>0</v>
      </c>
      <c r="J46" s="70">
        <v>56701</v>
      </c>
      <c r="K46" s="70">
        <v>44265</v>
      </c>
      <c r="L46" s="70">
        <v>0</v>
      </c>
      <c r="M46" s="70"/>
      <c r="N46" s="70"/>
      <c r="O46" s="70"/>
      <c r="P46" s="70"/>
      <c r="Q46" s="70"/>
      <c r="R46" s="70"/>
      <c r="S46" s="70"/>
      <c r="T46" s="70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 s="45"/>
      <c r="AL46" s="45"/>
      <c r="AM46" s="45"/>
      <c r="AN46" s="45"/>
      <c r="AO46" s="45"/>
      <c r="AP46" s="45"/>
      <c r="AQ46" s="45"/>
    </row>
    <row r="47" spans="1:43" ht="14.4" x14ac:dyDescent="0.3">
      <c r="A47" s="68">
        <v>2022</v>
      </c>
      <c r="B47" s="69">
        <v>148928</v>
      </c>
      <c r="C47" s="70">
        <v>0</v>
      </c>
      <c r="D47" s="70">
        <v>0</v>
      </c>
      <c r="E47" s="70">
        <v>1219</v>
      </c>
      <c r="F47" s="70">
        <v>0</v>
      </c>
      <c r="G47" s="70">
        <v>25172</v>
      </c>
      <c r="H47" s="70">
        <v>2051</v>
      </c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 s="45"/>
      <c r="AL47" s="45"/>
      <c r="AM47" s="45"/>
      <c r="AN47" s="45"/>
      <c r="AO47" s="45"/>
      <c r="AP47" s="45"/>
      <c r="AQ47" s="45"/>
    </row>
    <row r="48" spans="1:43" ht="14.4" x14ac:dyDescent="0.3">
      <c r="A48" s="68">
        <v>2023</v>
      </c>
      <c r="B48" s="69">
        <v>123703</v>
      </c>
      <c r="C48" s="70">
        <v>0</v>
      </c>
      <c r="D48" s="70">
        <v>0</v>
      </c>
      <c r="E48" s="70">
        <v>2397</v>
      </c>
      <c r="F48" s="70"/>
      <c r="G48" s="70"/>
      <c r="H48" s="70"/>
      <c r="I48" s="68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 s="45"/>
      <c r="AL48" s="45"/>
      <c r="AM48" s="45"/>
      <c r="AN48" s="45"/>
      <c r="AO48" s="45"/>
      <c r="AP48" s="45"/>
      <c r="AQ48" s="45"/>
    </row>
    <row r="49" spans="1:43" ht="14.4" x14ac:dyDescent="0.3">
      <c r="A49" s="68">
        <v>2024</v>
      </c>
      <c r="B49" s="69">
        <v>245768</v>
      </c>
      <c r="C49" s="70">
        <v>0</v>
      </c>
      <c r="D49" s="70"/>
      <c r="E49" s="70"/>
      <c r="F49" s="70"/>
      <c r="G49" s="70"/>
      <c r="H49" s="70"/>
      <c r="I49" s="68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 s="45"/>
      <c r="AL49" s="45"/>
      <c r="AM49" s="45"/>
      <c r="AN49" s="45"/>
      <c r="AO49" s="45"/>
      <c r="AP49" s="45"/>
      <c r="AQ49" s="45"/>
    </row>
    <row r="50" spans="1:43" ht="14.4" x14ac:dyDescent="0.3">
      <c r="A50" s="68">
        <v>2025</v>
      </c>
      <c r="B50" s="69">
        <v>126401</v>
      </c>
      <c r="C50" s="70"/>
      <c r="D50" s="70"/>
      <c r="E50" s="70"/>
      <c r="F50" s="70"/>
      <c r="G50" s="70"/>
      <c r="H50" s="70"/>
      <c r="I50" s="68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 s="45"/>
      <c r="AL50" s="45"/>
      <c r="AM50" s="45"/>
      <c r="AN50" s="45"/>
      <c r="AO50" s="45"/>
      <c r="AP50" s="45"/>
      <c r="AQ50" s="45"/>
    </row>
    <row r="51" spans="1:43" ht="14.4" x14ac:dyDescent="0.3">
      <c r="A51" s="68"/>
      <c r="B51" s="69"/>
      <c r="C51" s="70"/>
      <c r="D51" s="70"/>
      <c r="E51" s="70"/>
      <c r="F51" s="70"/>
      <c r="G51" s="70"/>
      <c r="H51" s="70"/>
      <c r="I51" s="68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 s="45"/>
      <c r="AL51" s="45"/>
      <c r="AM51" s="45"/>
      <c r="AN51" s="45"/>
      <c r="AO51" s="45"/>
      <c r="AP51" s="45"/>
      <c r="AQ51" s="45"/>
    </row>
    <row r="52" spans="1:43" ht="14.4" x14ac:dyDescent="0.3">
      <c r="A52" s="68"/>
      <c r="B52" s="69"/>
      <c r="C52" s="70"/>
      <c r="D52" s="70"/>
      <c r="E52" s="70"/>
      <c r="F52" s="70"/>
      <c r="G52" s="70"/>
      <c r="H52" s="70"/>
      <c r="I52" s="68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 s="45"/>
      <c r="AL52" s="45"/>
      <c r="AM52" s="45"/>
      <c r="AN52" s="45"/>
      <c r="AO52" s="45"/>
      <c r="AP52" s="45"/>
      <c r="AQ52" s="45"/>
    </row>
    <row r="53" spans="1:43" ht="14.4" x14ac:dyDescent="0.3">
      <c r="A53" s="68"/>
      <c r="B53" s="69"/>
      <c r="C53" s="70"/>
      <c r="D53" s="70"/>
      <c r="E53" s="70"/>
      <c r="F53" s="70"/>
      <c r="G53" s="70"/>
      <c r="H53" s="70"/>
      <c r="I53" s="68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 s="45"/>
      <c r="AL53" s="45"/>
      <c r="AM53" s="45"/>
      <c r="AN53" s="45"/>
      <c r="AO53" s="45"/>
      <c r="AP53" s="45"/>
      <c r="AQ53" s="45"/>
    </row>
    <row r="54" spans="1:43" ht="14.4" x14ac:dyDescent="0.3">
      <c r="B54" s="48"/>
      <c r="C54" s="43"/>
      <c r="D54" s="43"/>
      <c r="E54" s="43"/>
      <c r="F54" s="43"/>
      <c r="G54" s="43"/>
      <c r="H54" s="43"/>
      <c r="I54" s="42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 s="45"/>
      <c r="AL54" s="45"/>
      <c r="AM54" s="45"/>
      <c r="AN54" s="45"/>
      <c r="AO54" s="45"/>
      <c r="AP54" s="45"/>
      <c r="AQ54" s="45"/>
    </row>
    <row r="55" spans="1:43" ht="14.4" x14ac:dyDescent="0.3">
      <c r="A55" s="30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 s="45"/>
      <c r="AL55" s="45"/>
      <c r="AM55" s="45"/>
      <c r="AN55" s="45"/>
      <c r="AO55" s="45"/>
      <c r="AP55" s="45"/>
      <c r="AQ55" s="45"/>
    </row>
    <row r="56" spans="1:43" ht="14.4" x14ac:dyDescent="0.3">
      <c r="A56" s="30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 s="45"/>
      <c r="AL56" s="45"/>
      <c r="AM56" s="45"/>
      <c r="AN56" s="45"/>
      <c r="AO56" s="45"/>
      <c r="AP56" s="45"/>
      <c r="AQ56" s="45"/>
    </row>
    <row r="57" spans="1:43" ht="14.4" x14ac:dyDescent="0.3">
      <c r="A57" s="30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 s="45"/>
      <c r="AL57" s="45"/>
      <c r="AM57" s="45"/>
      <c r="AN57" s="45"/>
      <c r="AO57" s="45"/>
      <c r="AP57" s="45"/>
      <c r="AQ57" s="45"/>
    </row>
    <row r="58" spans="1:43" ht="14.4" x14ac:dyDescent="0.3">
      <c r="A58" s="30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 s="45"/>
      <c r="AL58" s="45"/>
      <c r="AM58" s="45"/>
      <c r="AN58" s="45"/>
      <c r="AO58" s="45"/>
      <c r="AP58" s="45"/>
      <c r="AQ58" s="45"/>
    </row>
    <row r="59" spans="1:43" ht="14.4" x14ac:dyDescent="0.3">
      <c r="A59" s="30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 s="45"/>
      <c r="AL59" s="45"/>
      <c r="AM59" s="45"/>
      <c r="AN59" s="45"/>
      <c r="AO59" s="45"/>
      <c r="AP59" s="45"/>
      <c r="AQ59" s="45"/>
    </row>
    <row r="60" spans="1:43" ht="14.4" x14ac:dyDescent="0.3">
      <c r="A60" s="3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 s="45"/>
      <c r="AL60" s="45"/>
      <c r="AM60" s="45"/>
      <c r="AN60" s="45"/>
      <c r="AO60" s="45"/>
      <c r="AP60" s="45"/>
      <c r="AQ60" s="45"/>
    </row>
    <row r="61" spans="1:43" ht="14.4" x14ac:dyDescent="0.3">
      <c r="A61" s="30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 s="45"/>
      <c r="AL61" s="45"/>
      <c r="AM61" s="45"/>
      <c r="AN61" s="45"/>
      <c r="AO61" s="45"/>
      <c r="AP61" s="45"/>
      <c r="AQ61" s="45"/>
    </row>
    <row r="62" spans="1:43" ht="14.4" x14ac:dyDescent="0.3">
      <c r="A62" s="30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 s="45"/>
      <c r="AL62" s="45"/>
      <c r="AM62" s="45"/>
      <c r="AN62" s="45"/>
      <c r="AO62" s="45"/>
      <c r="AP62" s="45"/>
      <c r="AQ62" s="45"/>
    </row>
    <row r="63" spans="1:43" ht="14.4" x14ac:dyDescent="0.3">
      <c r="A63" s="30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 s="45"/>
      <c r="AL63" s="45"/>
      <c r="AM63" s="45"/>
      <c r="AN63" s="45"/>
      <c r="AO63" s="45"/>
      <c r="AP63" s="45"/>
      <c r="AQ63" s="45"/>
    </row>
    <row r="64" spans="1:43" ht="14.4" x14ac:dyDescent="0.3">
      <c r="A64" s="30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 s="45"/>
      <c r="AL64" s="45"/>
      <c r="AM64" s="45"/>
      <c r="AN64" s="45"/>
      <c r="AO64" s="45"/>
      <c r="AP64" s="45"/>
      <c r="AQ64" s="45"/>
    </row>
    <row r="65" spans="1:43" ht="14.4" x14ac:dyDescent="0.3">
      <c r="A65" s="30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 s="45"/>
      <c r="AL65" s="45"/>
      <c r="AM65" s="45"/>
      <c r="AN65" s="45"/>
      <c r="AO65" s="45"/>
      <c r="AP65" s="45"/>
      <c r="AQ65" s="45"/>
    </row>
    <row r="66" spans="1:43" ht="14.4" x14ac:dyDescent="0.3">
      <c r="A66" s="30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 s="45"/>
      <c r="AL66" s="45"/>
      <c r="AM66" s="45"/>
      <c r="AN66" s="45"/>
      <c r="AO66" s="45"/>
      <c r="AP66" s="45"/>
      <c r="AQ66" s="45"/>
    </row>
    <row r="67" spans="1:43" ht="14.4" x14ac:dyDescent="0.3">
      <c r="A67" s="30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 s="45"/>
      <c r="AL67" s="45"/>
      <c r="AM67" s="45"/>
      <c r="AN67" s="45"/>
      <c r="AO67" s="45"/>
      <c r="AP67" s="45"/>
      <c r="AQ67" s="45"/>
    </row>
    <row r="68" spans="1:43" ht="14.4" x14ac:dyDescent="0.3">
      <c r="A68" s="30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 s="45"/>
      <c r="AL68" s="45"/>
      <c r="AM68" s="45"/>
      <c r="AN68" s="45"/>
      <c r="AO68" s="45"/>
      <c r="AP68" s="45"/>
      <c r="AQ68" s="45"/>
    </row>
    <row r="69" spans="1:43" ht="14.4" x14ac:dyDescent="0.3">
      <c r="A69" s="30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 s="45"/>
      <c r="AL69" s="45"/>
      <c r="AM69" s="45"/>
      <c r="AN69" s="45"/>
      <c r="AO69" s="45"/>
      <c r="AP69" s="45"/>
      <c r="AQ69" s="45"/>
    </row>
    <row r="70" spans="1:43" ht="14.4" x14ac:dyDescent="0.3">
      <c r="A70" s="3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 s="45"/>
      <c r="AL70" s="45"/>
      <c r="AM70" s="45"/>
      <c r="AN70" s="45"/>
      <c r="AO70" s="45"/>
      <c r="AP70" s="45"/>
      <c r="AQ70" s="45"/>
    </row>
    <row r="71" spans="1:43" ht="14.4" x14ac:dyDescent="0.3">
      <c r="A71" s="30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 s="45"/>
      <c r="AL71" s="45"/>
      <c r="AM71" s="45"/>
      <c r="AN71" s="45"/>
      <c r="AO71" s="45"/>
      <c r="AP71" s="45"/>
      <c r="AQ71" s="45"/>
    </row>
    <row r="72" spans="1:43" ht="14.4" x14ac:dyDescent="0.3">
      <c r="A72" s="30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43" ht="14.4" x14ac:dyDescent="0.3">
      <c r="A73" s="30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43" ht="14.4" x14ac:dyDescent="0.3">
      <c r="A74" s="30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43" ht="14.4" x14ac:dyDescent="0.3">
      <c r="A75" s="30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43" ht="14.4" x14ac:dyDescent="0.3">
      <c r="A76" s="30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:43" ht="14.4" x14ac:dyDescent="0.3">
      <c r="A77" s="30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:43" ht="14.4" x14ac:dyDescent="0.3">
      <c r="A78" s="30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43" ht="14.4" x14ac:dyDescent="0.3">
      <c r="A79" s="30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:43" ht="14.4" x14ac:dyDescent="0.3">
      <c r="A80" s="3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:36" ht="14.4" x14ac:dyDescent="0.3">
      <c r="A81" s="30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ht="14.4" x14ac:dyDescent="0.3">
      <c r="A82" s="30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ht="14.4" x14ac:dyDescent="0.3">
      <c r="A83" s="30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ht="14.4" x14ac:dyDescent="0.3">
      <c r="A84" s="30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 ht="14.4" x14ac:dyDescent="0.3">
      <c r="A85" s="30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 ht="14.4" x14ac:dyDescent="0.3">
      <c r="A86" s="30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6" ht="14.4" x14ac:dyDescent="0.3">
      <c r="A87" s="30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36" ht="14.4" x14ac:dyDescent="0.3">
      <c r="A88" s="30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36" ht="14.4" x14ac:dyDescent="0.3">
      <c r="A89" s="30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 ht="14.4" x14ac:dyDescent="0.3">
      <c r="A90" s="3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:36" ht="14.4" x14ac:dyDescent="0.3">
      <c r="A91" s="30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6" ht="14.4" x14ac:dyDescent="0.3">
      <c r="A92" s="30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6" ht="14.4" x14ac:dyDescent="0.3">
      <c r="A93" s="30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 ht="14.4" x14ac:dyDescent="0.3">
      <c r="A94" s="30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 ht="14.4" x14ac:dyDescent="0.3">
      <c r="A95" s="30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 ht="14.4" x14ac:dyDescent="0.3">
      <c r="A96" s="30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 ht="14.4" x14ac:dyDescent="0.3">
      <c r="A97" s="30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 ht="14.4" x14ac:dyDescent="0.3">
      <c r="A98" s="30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 ht="14.4" x14ac:dyDescent="0.3">
      <c r="A99" s="30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 ht="14.4" x14ac:dyDescent="0.3">
      <c r="A100" s="3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 ht="14.4" x14ac:dyDescent="0.3">
      <c r="A101" s="30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</row>
    <row r="102" spans="1:36" ht="14.4" x14ac:dyDescent="0.3">
      <c r="A102" s="30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:36" ht="14.4" x14ac:dyDescent="0.3">
      <c r="A103" s="30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 ht="14.4" x14ac:dyDescent="0.3">
      <c r="A104" s="30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</row>
    <row r="105" spans="1:36" ht="14.4" x14ac:dyDescent="0.3">
      <c r="A105" s="30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36" ht="14.4" x14ac:dyDescent="0.3">
      <c r="A106" s="30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36" ht="14.4" x14ac:dyDescent="0.3">
      <c r="A107" s="30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36" ht="14.4" x14ac:dyDescent="0.3">
      <c r="A108" s="30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</sheetData>
  <pageMargins left="0.75" right="0.75" top="1" bottom="1" header="0.5" footer="0.5"/>
  <pageSetup scale="3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8A1C-0C7F-42A6-AFA4-69AC52EF7B81}">
  <dimension ref="A1:W60"/>
  <sheetViews>
    <sheetView topLeftCell="A28" workbookViewId="0">
      <selection activeCell="N54" sqref="N54"/>
    </sheetView>
  </sheetViews>
  <sheetFormatPr defaultRowHeight="14.4" x14ac:dyDescent="0.3"/>
  <cols>
    <col min="1" max="1" width="9.109375" style="30"/>
  </cols>
  <sheetData>
    <row r="1" spans="1:20" x14ac:dyDescent="0.3">
      <c r="A1" s="12" t="s">
        <v>30</v>
      </c>
      <c r="B1" s="4"/>
      <c r="C1" s="4"/>
      <c r="D1" s="4"/>
    </row>
    <row r="3" spans="1:20" x14ac:dyDescent="0.3">
      <c r="A3" s="13"/>
      <c r="B3" s="14"/>
      <c r="R3" s="14"/>
      <c r="S3" s="14"/>
    </row>
    <row r="4" spans="1:20" x14ac:dyDescent="0.3">
      <c r="A4" s="15" t="s">
        <v>0</v>
      </c>
      <c r="B4" s="16"/>
      <c r="C4" s="49" t="s">
        <v>1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17" t="s">
        <v>28</v>
      </c>
    </row>
    <row r="5" spans="1:20" x14ac:dyDescent="0.3">
      <c r="A5" s="18" t="s">
        <v>31</v>
      </c>
      <c r="B5" s="19" t="s">
        <v>7</v>
      </c>
      <c r="C5" s="19">
        <v>0.1</v>
      </c>
      <c r="D5" s="19">
        <v>0.2</v>
      </c>
      <c r="E5" s="19">
        <v>1.1000000000000001</v>
      </c>
      <c r="F5" s="19">
        <v>0.3</v>
      </c>
      <c r="G5" s="19">
        <v>1.2</v>
      </c>
      <c r="H5" s="19">
        <v>2.1</v>
      </c>
      <c r="I5" s="19">
        <v>0.4</v>
      </c>
      <c r="J5" s="19">
        <v>1.3</v>
      </c>
      <c r="K5" s="19">
        <v>2.2000000000000002</v>
      </c>
      <c r="L5" s="19">
        <v>3.1</v>
      </c>
      <c r="M5" s="19">
        <v>1.4</v>
      </c>
      <c r="N5" s="19">
        <v>2.2999999999999998</v>
      </c>
      <c r="O5" s="19">
        <v>3.2</v>
      </c>
      <c r="P5" s="19">
        <v>1.5</v>
      </c>
      <c r="Q5" s="19">
        <v>2.4</v>
      </c>
      <c r="R5" s="19">
        <v>3.3</v>
      </c>
      <c r="S5" s="19">
        <v>2.5</v>
      </c>
      <c r="T5" s="20" t="s">
        <v>32</v>
      </c>
    </row>
    <row r="6" spans="1:20" x14ac:dyDescent="0.3">
      <c r="A6" s="13">
        <v>1978</v>
      </c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>
        <v>101</v>
      </c>
      <c r="Q6" s="22">
        <v>2942</v>
      </c>
      <c r="R6" s="22">
        <v>779</v>
      </c>
      <c r="S6" s="22"/>
      <c r="T6" s="21"/>
    </row>
    <row r="7" spans="1:20" x14ac:dyDescent="0.3">
      <c r="A7" s="13">
        <v>1979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>
        <v>5620</v>
      </c>
      <c r="N7" s="22">
        <v>322104</v>
      </c>
      <c r="O7" s="22">
        <v>542</v>
      </c>
      <c r="P7" s="22">
        <v>0</v>
      </c>
      <c r="Q7" s="22">
        <v>701</v>
      </c>
      <c r="R7" s="22">
        <v>170</v>
      </c>
      <c r="S7" s="22"/>
      <c r="T7" s="21"/>
    </row>
    <row r="8" spans="1:20" x14ac:dyDescent="0.3">
      <c r="A8" s="13">
        <v>1980</v>
      </c>
      <c r="B8" s="21"/>
      <c r="C8" s="22"/>
      <c r="D8" s="22"/>
      <c r="E8" s="22"/>
      <c r="F8" s="22"/>
      <c r="G8" s="22"/>
      <c r="H8" s="22"/>
      <c r="I8" s="22">
        <v>299</v>
      </c>
      <c r="J8" s="22">
        <v>107873</v>
      </c>
      <c r="K8" s="22">
        <v>492648</v>
      </c>
      <c r="L8" s="22">
        <v>0</v>
      </c>
      <c r="M8" s="22">
        <v>131</v>
      </c>
      <c r="N8" s="22">
        <v>185282</v>
      </c>
      <c r="O8" s="22">
        <v>202</v>
      </c>
      <c r="P8" s="22">
        <v>0</v>
      </c>
      <c r="Q8" s="22">
        <v>239</v>
      </c>
      <c r="R8" s="22">
        <v>44</v>
      </c>
      <c r="S8" s="22"/>
      <c r="T8" s="21"/>
    </row>
    <row r="9" spans="1:20" x14ac:dyDescent="0.3">
      <c r="A9" s="13">
        <v>1981</v>
      </c>
      <c r="B9" s="21">
        <v>251000</v>
      </c>
      <c r="C9" s="22"/>
      <c r="D9" s="22"/>
      <c r="E9" s="22"/>
      <c r="F9" s="22">
        <v>1759</v>
      </c>
      <c r="G9" s="22">
        <v>36372</v>
      </c>
      <c r="H9" s="22">
        <v>46924</v>
      </c>
      <c r="I9" s="22">
        <v>72</v>
      </c>
      <c r="J9" s="22">
        <v>41812</v>
      </c>
      <c r="K9" s="22">
        <v>47275</v>
      </c>
      <c r="L9" s="22">
        <v>0</v>
      </c>
      <c r="M9" s="22">
        <v>660</v>
      </c>
      <c r="N9" s="22">
        <v>13678</v>
      </c>
      <c r="O9" s="22">
        <v>35</v>
      </c>
      <c r="P9" s="22">
        <v>0</v>
      </c>
      <c r="Q9" s="22">
        <v>59</v>
      </c>
      <c r="R9" s="22">
        <v>0</v>
      </c>
      <c r="S9" s="22"/>
      <c r="T9" s="21"/>
    </row>
    <row r="10" spans="1:20" x14ac:dyDescent="0.3">
      <c r="A10" s="13">
        <v>1982</v>
      </c>
      <c r="B10" s="21">
        <v>179600</v>
      </c>
      <c r="C10" s="22"/>
      <c r="D10" s="22">
        <v>314</v>
      </c>
      <c r="E10" s="22">
        <v>65</v>
      </c>
      <c r="F10" s="22">
        <v>5608</v>
      </c>
      <c r="G10" s="22">
        <v>11464</v>
      </c>
      <c r="H10" s="22">
        <v>2635</v>
      </c>
      <c r="I10" s="22">
        <v>67</v>
      </c>
      <c r="J10" s="22">
        <v>45490</v>
      </c>
      <c r="K10" s="22">
        <v>143389</v>
      </c>
      <c r="L10" s="22">
        <v>0</v>
      </c>
      <c r="M10" s="22">
        <v>123</v>
      </c>
      <c r="N10" s="22">
        <v>125841</v>
      </c>
      <c r="O10" s="22">
        <v>1572</v>
      </c>
      <c r="P10" s="22">
        <v>0</v>
      </c>
      <c r="Q10" s="22">
        <v>963</v>
      </c>
      <c r="R10" s="22">
        <v>8</v>
      </c>
      <c r="S10" s="22"/>
      <c r="T10" s="22">
        <v>337539</v>
      </c>
    </row>
    <row r="11" spans="1:20" x14ac:dyDescent="0.3">
      <c r="A11" s="13">
        <v>1983</v>
      </c>
      <c r="B11" s="21">
        <v>128800</v>
      </c>
      <c r="C11" s="22">
        <v>0</v>
      </c>
      <c r="D11" s="22">
        <v>852</v>
      </c>
      <c r="E11" s="22">
        <v>0</v>
      </c>
      <c r="F11" s="22">
        <v>5740</v>
      </c>
      <c r="G11" s="22">
        <v>43856</v>
      </c>
      <c r="H11" s="22">
        <v>23711</v>
      </c>
      <c r="I11" s="22">
        <v>244</v>
      </c>
      <c r="J11" s="22">
        <v>72682</v>
      </c>
      <c r="K11" s="22">
        <v>53532</v>
      </c>
      <c r="L11" s="22">
        <v>0</v>
      </c>
      <c r="M11" s="22">
        <v>936</v>
      </c>
      <c r="N11" s="22">
        <v>66102</v>
      </c>
      <c r="O11" s="22">
        <v>210</v>
      </c>
      <c r="P11" s="22">
        <v>0</v>
      </c>
      <c r="Q11" s="22">
        <v>2964</v>
      </c>
      <c r="R11" s="22">
        <v>2751</v>
      </c>
      <c r="S11" s="22"/>
      <c r="T11" s="22">
        <v>273580</v>
      </c>
    </row>
    <row r="12" spans="1:20" x14ac:dyDescent="0.3">
      <c r="A12" s="13">
        <v>1984</v>
      </c>
      <c r="B12" s="21">
        <v>251000</v>
      </c>
      <c r="C12" s="22">
        <v>0</v>
      </c>
      <c r="D12" s="22">
        <v>624</v>
      </c>
      <c r="E12" s="22">
        <v>6638</v>
      </c>
      <c r="F12" s="22">
        <v>1912</v>
      </c>
      <c r="G12" s="23">
        <v>59603</v>
      </c>
      <c r="H12" s="22">
        <v>12678</v>
      </c>
      <c r="I12" s="22">
        <v>206</v>
      </c>
      <c r="J12" s="22">
        <v>59696</v>
      </c>
      <c r="K12" s="22">
        <v>276557</v>
      </c>
      <c r="L12" s="22">
        <v>154</v>
      </c>
      <c r="M12" s="22">
        <v>449</v>
      </c>
      <c r="N12" s="22">
        <v>275013</v>
      </c>
      <c r="O12" s="22">
        <v>10624</v>
      </c>
      <c r="P12" s="22">
        <v>0</v>
      </c>
      <c r="Q12" s="22">
        <v>17</v>
      </c>
      <c r="R12" s="22">
        <v>0</v>
      </c>
      <c r="S12" s="22"/>
      <c r="T12" s="22">
        <v>704171</v>
      </c>
    </row>
    <row r="13" spans="1:20" x14ac:dyDescent="0.3">
      <c r="A13" s="13">
        <v>1985</v>
      </c>
      <c r="B13" s="21">
        <v>314000</v>
      </c>
      <c r="C13" s="22">
        <v>0</v>
      </c>
      <c r="D13" s="23">
        <v>168</v>
      </c>
      <c r="E13" s="22">
        <v>671</v>
      </c>
      <c r="F13" s="22">
        <v>976</v>
      </c>
      <c r="G13" s="22">
        <v>77339</v>
      </c>
      <c r="H13" s="22">
        <v>8037</v>
      </c>
      <c r="I13" s="22">
        <v>171</v>
      </c>
      <c r="J13" s="22">
        <v>110618</v>
      </c>
      <c r="K13" s="22">
        <v>238924</v>
      </c>
      <c r="L13" s="22">
        <v>0</v>
      </c>
      <c r="M13" s="22">
        <v>0</v>
      </c>
      <c r="N13" s="22">
        <v>109028</v>
      </c>
      <c r="O13" s="22">
        <v>0</v>
      </c>
      <c r="P13" s="22">
        <v>0</v>
      </c>
      <c r="Q13" s="22">
        <v>1632</v>
      </c>
      <c r="R13" s="22">
        <v>46</v>
      </c>
      <c r="S13" s="22"/>
      <c r="T13" s="22">
        <v>547610</v>
      </c>
    </row>
    <row r="14" spans="1:20" x14ac:dyDescent="0.3">
      <c r="A14" s="13">
        <v>1986</v>
      </c>
      <c r="B14" s="21">
        <v>117500</v>
      </c>
      <c r="C14" s="22">
        <v>40</v>
      </c>
      <c r="D14" s="22">
        <v>187</v>
      </c>
      <c r="E14" s="22">
        <v>353</v>
      </c>
      <c r="F14" s="22">
        <v>4370</v>
      </c>
      <c r="G14" s="22">
        <v>33650</v>
      </c>
      <c r="H14" s="22">
        <v>13</v>
      </c>
      <c r="I14" s="22">
        <v>0</v>
      </c>
      <c r="J14" s="22">
        <v>188884</v>
      </c>
      <c r="K14" s="22">
        <v>175014</v>
      </c>
      <c r="L14" s="22">
        <v>0</v>
      </c>
      <c r="M14" s="22">
        <v>7801</v>
      </c>
      <c r="N14" s="22">
        <v>140116</v>
      </c>
      <c r="O14" s="22">
        <v>285</v>
      </c>
      <c r="P14" s="22">
        <v>0</v>
      </c>
      <c r="Q14" s="22">
        <v>1817</v>
      </c>
      <c r="R14" s="22">
        <v>1979</v>
      </c>
      <c r="S14" s="22"/>
      <c r="T14" s="22">
        <v>554509</v>
      </c>
    </row>
    <row r="15" spans="1:20" x14ac:dyDescent="0.3">
      <c r="A15" s="13">
        <v>1987</v>
      </c>
      <c r="B15" s="21">
        <v>155700</v>
      </c>
      <c r="C15" s="22">
        <v>0</v>
      </c>
      <c r="D15" s="22">
        <v>57</v>
      </c>
      <c r="E15" s="22">
        <v>0</v>
      </c>
      <c r="F15" s="22">
        <v>1588</v>
      </c>
      <c r="G15" s="22">
        <v>71043</v>
      </c>
      <c r="H15" s="22">
        <v>4221</v>
      </c>
      <c r="I15" s="22">
        <v>143</v>
      </c>
      <c r="J15" s="22">
        <v>112</v>
      </c>
      <c r="K15" s="22">
        <v>151270</v>
      </c>
      <c r="L15" s="22">
        <v>0</v>
      </c>
      <c r="M15" s="22">
        <v>2986</v>
      </c>
      <c r="N15" s="22">
        <v>287652</v>
      </c>
      <c r="O15" s="22">
        <v>7874</v>
      </c>
      <c r="P15" s="22">
        <v>0</v>
      </c>
      <c r="Q15" s="22">
        <v>3054</v>
      </c>
      <c r="R15" s="22">
        <v>288</v>
      </c>
      <c r="S15" s="22"/>
      <c r="T15" s="22">
        <v>530288</v>
      </c>
    </row>
    <row r="16" spans="1:20" x14ac:dyDescent="0.3">
      <c r="A16" s="13">
        <v>1988</v>
      </c>
      <c r="B16" s="21">
        <v>142900</v>
      </c>
      <c r="C16" s="22">
        <v>0</v>
      </c>
      <c r="D16" s="22">
        <v>574</v>
      </c>
      <c r="E16" s="22">
        <v>3357</v>
      </c>
      <c r="F16" s="22">
        <v>3441</v>
      </c>
      <c r="G16" s="22">
        <v>132457</v>
      </c>
      <c r="H16" s="22">
        <v>9261</v>
      </c>
      <c r="I16" s="22">
        <v>0</v>
      </c>
      <c r="J16" s="22">
        <v>126716</v>
      </c>
      <c r="K16" s="22">
        <v>257895</v>
      </c>
      <c r="L16" s="22">
        <v>0</v>
      </c>
      <c r="M16" s="22">
        <v>4422</v>
      </c>
      <c r="N16" s="22">
        <v>129241</v>
      </c>
      <c r="O16" s="22">
        <v>2311</v>
      </c>
      <c r="P16" s="22">
        <v>0</v>
      </c>
      <c r="Q16" s="22">
        <v>1025</v>
      </c>
      <c r="R16" s="22">
        <v>1051</v>
      </c>
      <c r="S16" s="22"/>
      <c r="T16" s="22">
        <v>671751</v>
      </c>
    </row>
    <row r="17" spans="1:20" x14ac:dyDescent="0.3">
      <c r="A17" s="13">
        <v>1989</v>
      </c>
      <c r="B17" s="21">
        <v>206800</v>
      </c>
      <c r="C17" s="22">
        <v>0</v>
      </c>
      <c r="D17" s="22">
        <v>520</v>
      </c>
      <c r="E17" s="22">
        <v>394</v>
      </c>
      <c r="F17" s="22">
        <v>3029</v>
      </c>
      <c r="G17" s="22">
        <v>21813</v>
      </c>
      <c r="H17" s="22">
        <v>8550</v>
      </c>
      <c r="I17" s="22">
        <v>0</v>
      </c>
      <c r="J17" s="22">
        <v>42705</v>
      </c>
      <c r="K17" s="22">
        <v>422926</v>
      </c>
      <c r="L17" s="22">
        <v>333</v>
      </c>
      <c r="M17" s="22">
        <v>510</v>
      </c>
      <c r="N17" s="22">
        <v>129324</v>
      </c>
      <c r="O17" s="22">
        <v>2124</v>
      </c>
      <c r="P17" s="22">
        <v>0</v>
      </c>
      <c r="Q17" s="22">
        <v>104</v>
      </c>
      <c r="R17" s="22">
        <v>0</v>
      </c>
      <c r="S17" s="22"/>
      <c r="T17" s="22">
        <v>632332</v>
      </c>
    </row>
    <row r="18" spans="1:20" x14ac:dyDescent="0.3">
      <c r="A18" s="13">
        <v>1990</v>
      </c>
      <c r="B18" s="21">
        <v>269200</v>
      </c>
      <c r="C18" s="22">
        <v>0</v>
      </c>
      <c r="D18" s="22">
        <v>274</v>
      </c>
      <c r="E18" s="22">
        <v>0</v>
      </c>
      <c r="F18" s="22">
        <v>1836</v>
      </c>
      <c r="G18" s="22">
        <v>39391</v>
      </c>
      <c r="H18" s="22">
        <v>15830</v>
      </c>
      <c r="I18" s="22">
        <v>47</v>
      </c>
      <c r="J18" s="22">
        <v>104895</v>
      </c>
      <c r="K18" s="22">
        <v>490010</v>
      </c>
      <c r="L18" s="22">
        <v>0</v>
      </c>
      <c r="M18" s="22">
        <v>770</v>
      </c>
      <c r="N18" s="22">
        <v>66012</v>
      </c>
      <c r="O18" s="22">
        <v>0</v>
      </c>
      <c r="P18" s="22">
        <v>0</v>
      </c>
      <c r="Q18" s="22">
        <v>0</v>
      </c>
      <c r="R18" s="22">
        <v>388</v>
      </c>
      <c r="S18" s="22"/>
      <c r="T18" s="22">
        <v>719453</v>
      </c>
    </row>
    <row r="19" spans="1:20" x14ac:dyDescent="0.3">
      <c r="A19" s="13">
        <v>1991</v>
      </c>
      <c r="B19" s="21">
        <v>279200</v>
      </c>
      <c r="C19" s="22">
        <v>0</v>
      </c>
      <c r="D19" s="22">
        <v>43</v>
      </c>
      <c r="E19" s="22">
        <v>57</v>
      </c>
      <c r="F19" s="22">
        <v>850</v>
      </c>
      <c r="G19" s="22">
        <v>27591</v>
      </c>
      <c r="H19" s="22">
        <v>29153</v>
      </c>
      <c r="I19" s="22">
        <v>13</v>
      </c>
      <c r="J19" s="22">
        <v>93773</v>
      </c>
      <c r="K19" s="22">
        <v>397612</v>
      </c>
      <c r="L19" s="22">
        <v>0</v>
      </c>
      <c r="M19" s="22">
        <v>1059</v>
      </c>
      <c r="N19" s="22">
        <v>117254</v>
      </c>
      <c r="O19" s="22">
        <v>0</v>
      </c>
      <c r="P19" s="22">
        <v>0</v>
      </c>
      <c r="Q19" s="22">
        <v>0</v>
      </c>
      <c r="R19" s="22">
        <v>0</v>
      </c>
      <c r="S19" s="22"/>
      <c r="T19" s="22">
        <v>667405</v>
      </c>
    </row>
    <row r="20" spans="1:20" x14ac:dyDescent="0.3">
      <c r="A20" s="13">
        <v>1992</v>
      </c>
      <c r="B20" s="21">
        <v>179700</v>
      </c>
      <c r="C20" s="22">
        <v>177</v>
      </c>
      <c r="D20" s="22">
        <v>372</v>
      </c>
      <c r="E20" s="22">
        <v>367</v>
      </c>
      <c r="F20" s="22">
        <v>7022</v>
      </c>
      <c r="G20" s="22">
        <v>101543</v>
      </c>
      <c r="H20" s="22">
        <v>16002</v>
      </c>
      <c r="I20" s="22">
        <v>35</v>
      </c>
      <c r="J20" s="22">
        <v>88011</v>
      </c>
      <c r="K20" s="22">
        <v>138846</v>
      </c>
      <c r="L20" s="22">
        <v>0</v>
      </c>
      <c r="M20" s="24">
        <v>270</v>
      </c>
      <c r="N20" s="22">
        <v>65466</v>
      </c>
      <c r="O20" s="22">
        <v>1950</v>
      </c>
      <c r="P20" s="22">
        <v>0</v>
      </c>
      <c r="Q20" s="22">
        <v>0</v>
      </c>
      <c r="R20" s="24">
        <v>323</v>
      </c>
      <c r="S20" s="24"/>
      <c r="T20" s="22">
        <v>420384</v>
      </c>
    </row>
    <row r="21" spans="1:20" x14ac:dyDescent="0.3">
      <c r="A21" s="13">
        <v>1993</v>
      </c>
      <c r="B21" s="21">
        <v>262200</v>
      </c>
      <c r="C21" s="22">
        <v>0</v>
      </c>
      <c r="D21" s="22">
        <v>588</v>
      </c>
      <c r="E21" s="22">
        <v>696</v>
      </c>
      <c r="F21" s="22">
        <v>6168</v>
      </c>
      <c r="G21" s="22">
        <v>32200</v>
      </c>
      <c r="H21" s="22">
        <v>0</v>
      </c>
      <c r="I21" s="22">
        <v>0</v>
      </c>
      <c r="J21" s="22">
        <v>101468</v>
      </c>
      <c r="K21" s="22">
        <v>68567</v>
      </c>
      <c r="L21" s="22">
        <v>0</v>
      </c>
      <c r="M21" s="22">
        <v>757</v>
      </c>
      <c r="N21" s="22">
        <v>43961</v>
      </c>
      <c r="O21" s="22">
        <v>0</v>
      </c>
      <c r="P21" s="22">
        <v>0</v>
      </c>
      <c r="Q21" s="22">
        <v>247</v>
      </c>
      <c r="R21" s="22">
        <v>822</v>
      </c>
      <c r="S21" s="22"/>
      <c r="T21" s="22">
        <v>255474</v>
      </c>
    </row>
    <row r="22" spans="1:20" x14ac:dyDescent="0.3">
      <c r="A22" s="13">
        <v>1994</v>
      </c>
      <c r="B22" s="21">
        <v>333400</v>
      </c>
      <c r="C22" s="22">
        <v>0</v>
      </c>
      <c r="D22" s="22">
        <v>0</v>
      </c>
      <c r="E22" s="22">
        <v>66</v>
      </c>
      <c r="F22" s="22">
        <v>1784</v>
      </c>
      <c r="G22" s="22">
        <v>56338</v>
      </c>
      <c r="H22" s="22">
        <v>25719</v>
      </c>
      <c r="I22" s="22">
        <v>0</v>
      </c>
      <c r="J22" s="22">
        <v>55711</v>
      </c>
      <c r="K22" s="22">
        <v>278510</v>
      </c>
      <c r="L22" s="22">
        <v>0</v>
      </c>
      <c r="M22" s="22">
        <v>187</v>
      </c>
      <c r="N22" s="22">
        <v>64812</v>
      </c>
      <c r="O22" s="22">
        <v>2238</v>
      </c>
      <c r="P22" s="22">
        <v>0</v>
      </c>
      <c r="Q22" s="22">
        <v>396</v>
      </c>
      <c r="R22" s="22">
        <v>850</v>
      </c>
      <c r="S22" s="22"/>
      <c r="T22" s="22">
        <v>486611</v>
      </c>
    </row>
    <row r="23" spans="1:20" x14ac:dyDescent="0.3">
      <c r="A23" s="13">
        <v>1995</v>
      </c>
      <c r="B23" s="21">
        <v>338700</v>
      </c>
      <c r="C23" s="22">
        <v>0</v>
      </c>
      <c r="D23" s="22">
        <v>408</v>
      </c>
      <c r="E23" s="22">
        <v>1225</v>
      </c>
      <c r="F23" s="24">
        <v>9053</v>
      </c>
      <c r="G23" s="22">
        <v>40189</v>
      </c>
      <c r="H23" s="22">
        <v>8048</v>
      </c>
      <c r="I23" s="22">
        <v>45</v>
      </c>
      <c r="J23" s="22">
        <v>40011</v>
      </c>
      <c r="K23" s="22">
        <v>159412</v>
      </c>
      <c r="L23" s="22">
        <v>0</v>
      </c>
      <c r="M23" s="22">
        <v>443</v>
      </c>
      <c r="N23" s="22">
        <v>59776</v>
      </c>
      <c r="O23" s="22">
        <v>0</v>
      </c>
      <c r="P23" s="22">
        <v>0</v>
      </c>
      <c r="Q23" s="22">
        <v>427</v>
      </c>
      <c r="R23" s="22">
        <v>1805</v>
      </c>
      <c r="S23" s="22"/>
      <c r="T23" s="22">
        <v>320842</v>
      </c>
    </row>
    <row r="24" spans="1:20" x14ac:dyDescent="0.3">
      <c r="A24" s="13">
        <v>1996</v>
      </c>
      <c r="B24" s="21">
        <v>250500</v>
      </c>
      <c r="C24" s="22">
        <v>0</v>
      </c>
      <c r="D24" s="22">
        <v>487</v>
      </c>
      <c r="E24" s="22">
        <v>369</v>
      </c>
      <c r="F24" s="22">
        <v>4798</v>
      </c>
      <c r="G24" s="22">
        <v>103080</v>
      </c>
      <c r="H24" s="22">
        <v>373</v>
      </c>
      <c r="I24" s="22">
        <v>1351</v>
      </c>
      <c r="J24" s="22">
        <v>127901</v>
      </c>
      <c r="K24" s="22">
        <v>121449</v>
      </c>
      <c r="L24" s="22">
        <v>179</v>
      </c>
      <c r="M24" s="22">
        <v>258</v>
      </c>
      <c r="N24" s="22">
        <v>116142</v>
      </c>
      <c r="O24" s="22">
        <v>29140</v>
      </c>
      <c r="P24" s="22">
        <v>0</v>
      </c>
      <c r="Q24" s="22">
        <v>284</v>
      </c>
      <c r="R24" s="22">
        <v>5141</v>
      </c>
      <c r="S24" s="22"/>
      <c r="T24" s="22">
        <v>510952</v>
      </c>
    </row>
    <row r="25" spans="1:20" x14ac:dyDescent="0.3">
      <c r="A25" s="13">
        <v>1997</v>
      </c>
      <c r="B25" s="21">
        <v>183000</v>
      </c>
      <c r="C25" s="24">
        <v>0</v>
      </c>
      <c r="D25" s="22">
        <v>28</v>
      </c>
      <c r="E25" s="22">
        <v>336</v>
      </c>
      <c r="F25" s="22">
        <v>11403</v>
      </c>
      <c r="G25" s="22">
        <v>40783</v>
      </c>
      <c r="H25" s="22">
        <v>5776</v>
      </c>
      <c r="I25" s="22">
        <v>0</v>
      </c>
      <c r="J25" s="22">
        <v>36770</v>
      </c>
      <c r="K25" s="22">
        <v>364391</v>
      </c>
      <c r="L25" s="22">
        <v>234</v>
      </c>
      <c r="M25" s="22">
        <v>781</v>
      </c>
      <c r="N25" s="22">
        <v>188100</v>
      </c>
      <c r="O25" s="22">
        <v>3880</v>
      </c>
      <c r="P25" s="24">
        <v>0</v>
      </c>
      <c r="Q25" s="22">
        <v>1428</v>
      </c>
      <c r="R25" s="22">
        <v>592</v>
      </c>
      <c r="S25" s="22"/>
      <c r="T25" s="22">
        <v>654502</v>
      </c>
    </row>
    <row r="26" spans="1:20" x14ac:dyDescent="0.3">
      <c r="A26" s="13">
        <v>1998</v>
      </c>
      <c r="B26" s="21">
        <v>159810</v>
      </c>
      <c r="C26" s="24">
        <v>0</v>
      </c>
      <c r="D26" s="22">
        <v>5419</v>
      </c>
      <c r="E26" s="22">
        <v>603</v>
      </c>
      <c r="F26" s="22">
        <v>8105</v>
      </c>
      <c r="G26" s="22">
        <v>49739</v>
      </c>
      <c r="H26" s="22">
        <v>8673</v>
      </c>
      <c r="I26" s="22">
        <v>0</v>
      </c>
      <c r="J26" s="22">
        <v>88210</v>
      </c>
      <c r="K26" s="22">
        <v>248385</v>
      </c>
      <c r="L26" s="22">
        <v>1082</v>
      </c>
      <c r="M26" s="22">
        <v>989</v>
      </c>
      <c r="N26" s="22">
        <v>122876</v>
      </c>
      <c r="O26" s="22">
        <v>1015</v>
      </c>
      <c r="P26" s="24">
        <v>0</v>
      </c>
      <c r="Q26" s="24">
        <v>77</v>
      </c>
      <c r="R26" s="24">
        <v>738</v>
      </c>
      <c r="S26" s="24"/>
      <c r="T26" s="22">
        <v>535911</v>
      </c>
    </row>
    <row r="27" spans="1:20" x14ac:dyDescent="0.3">
      <c r="A27" s="13">
        <v>1999</v>
      </c>
      <c r="B27" s="21">
        <v>202067</v>
      </c>
      <c r="C27" s="24">
        <v>0</v>
      </c>
      <c r="D27" s="22">
        <v>23892</v>
      </c>
      <c r="E27" s="22">
        <v>284</v>
      </c>
      <c r="F27" s="22">
        <v>13776</v>
      </c>
      <c r="G27" s="22">
        <v>47362</v>
      </c>
      <c r="H27" s="22">
        <v>104402</v>
      </c>
      <c r="I27" s="22">
        <v>591.00329999999997</v>
      </c>
      <c r="J27" s="22">
        <v>106577</v>
      </c>
      <c r="K27" s="22">
        <v>677132</v>
      </c>
      <c r="L27" s="22">
        <v>532.17849999999999</v>
      </c>
      <c r="M27" s="22">
        <v>1501</v>
      </c>
      <c r="N27" s="22">
        <v>117938</v>
      </c>
      <c r="O27" s="22">
        <v>6593</v>
      </c>
      <c r="P27" s="22">
        <v>0</v>
      </c>
      <c r="Q27" s="22">
        <v>446</v>
      </c>
      <c r="R27" s="22">
        <v>2055</v>
      </c>
      <c r="S27" s="22">
        <v>0</v>
      </c>
      <c r="T27" s="22">
        <v>1103081.1817999999</v>
      </c>
    </row>
    <row r="28" spans="1:20" x14ac:dyDescent="0.3">
      <c r="A28" s="13">
        <v>2000</v>
      </c>
      <c r="B28" s="21">
        <v>182694</v>
      </c>
      <c r="C28" s="24">
        <v>234</v>
      </c>
      <c r="D28" s="25">
        <v>10599</v>
      </c>
      <c r="E28" s="25">
        <v>2296</v>
      </c>
      <c r="F28" s="22">
        <v>15861</v>
      </c>
      <c r="G28" s="22">
        <v>42510</v>
      </c>
      <c r="H28" s="22">
        <v>2498.1786999999999</v>
      </c>
      <c r="I28" s="25">
        <v>0</v>
      </c>
      <c r="J28" s="25">
        <v>53774</v>
      </c>
      <c r="K28" s="25">
        <v>363805</v>
      </c>
      <c r="L28" s="25">
        <v>0</v>
      </c>
      <c r="M28" s="25">
        <v>927</v>
      </c>
      <c r="N28" s="25">
        <v>75988</v>
      </c>
      <c r="O28" s="25">
        <v>433</v>
      </c>
      <c r="P28" s="25">
        <v>0</v>
      </c>
      <c r="Q28" s="25">
        <v>258</v>
      </c>
      <c r="R28" s="25">
        <v>598</v>
      </c>
      <c r="S28" s="25">
        <v>0</v>
      </c>
      <c r="T28" s="22">
        <v>569781.17870000005</v>
      </c>
    </row>
    <row r="29" spans="1:20" x14ac:dyDescent="0.3">
      <c r="A29" s="13">
        <v>2001</v>
      </c>
      <c r="B29" s="21">
        <v>201962</v>
      </c>
      <c r="C29" s="24">
        <v>2152</v>
      </c>
      <c r="D29" s="25">
        <v>34953</v>
      </c>
      <c r="E29" s="25">
        <v>20.492599999999999</v>
      </c>
      <c r="F29" s="22">
        <v>15722</v>
      </c>
      <c r="G29" s="22">
        <v>38048</v>
      </c>
      <c r="H29" s="22">
        <v>8544</v>
      </c>
      <c r="I29" s="25">
        <v>705</v>
      </c>
      <c r="J29" s="25">
        <v>60178</v>
      </c>
      <c r="K29" s="25">
        <v>252169</v>
      </c>
      <c r="L29" s="25">
        <v>0</v>
      </c>
      <c r="M29" s="25">
        <v>672</v>
      </c>
      <c r="N29" s="25">
        <v>124101</v>
      </c>
      <c r="O29" s="25">
        <v>1063</v>
      </c>
      <c r="P29" s="25">
        <v>0</v>
      </c>
      <c r="Q29" s="25">
        <v>469</v>
      </c>
      <c r="R29" s="25">
        <v>1137</v>
      </c>
      <c r="S29" s="25">
        <v>0</v>
      </c>
      <c r="T29" s="22">
        <v>539933.4926</v>
      </c>
    </row>
    <row r="30" spans="1:20" x14ac:dyDescent="0.3">
      <c r="A30" s="13">
        <v>2002</v>
      </c>
      <c r="B30" s="21">
        <v>315689</v>
      </c>
      <c r="C30" s="24">
        <v>159</v>
      </c>
      <c r="D30" s="25">
        <v>16950</v>
      </c>
      <c r="E30" s="25">
        <v>191</v>
      </c>
      <c r="F30" s="22">
        <v>12230</v>
      </c>
      <c r="G30" s="22">
        <v>52044</v>
      </c>
      <c r="H30" s="22">
        <v>4310</v>
      </c>
      <c r="I30" s="25">
        <v>271</v>
      </c>
      <c r="J30" s="25">
        <v>67350</v>
      </c>
      <c r="K30" s="25">
        <v>238834</v>
      </c>
      <c r="L30" s="25">
        <v>0</v>
      </c>
      <c r="M30" s="25">
        <v>392</v>
      </c>
      <c r="N30" s="25">
        <v>94440</v>
      </c>
      <c r="O30" s="25">
        <v>836</v>
      </c>
      <c r="P30" s="26">
        <v>0</v>
      </c>
      <c r="Q30" s="26">
        <v>237.64089999999999</v>
      </c>
      <c r="R30" s="26">
        <v>0</v>
      </c>
      <c r="S30" s="26">
        <v>0</v>
      </c>
      <c r="T30" s="22">
        <v>488244.6409</v>
      </c>
    </row>
    <row r="31" spans="1:20" x14ac:dyDescent="0.3">
      <c r="A31" s="13">
        <v>2003</v>
      </c>
      <c r="B31" s="21">
        <v>343511</v>
      </c>
      <c r="C31" s="27">
        <v>820</v>
      </c>
      <c r="D31" s="25">
        <v>7994</v>
      </c>
      <c r="E31" s="25">
        <v>784</v>
      </c>
      <c r="F31" s="25">
        <v>10424</v>
      </c>
      <c r="G31" s="25">
        <v>71839</v>
      </c>
      <c r="H31" s="25">
        <v>884</v>
      </c>
      <c r="I31" s="25">
        <v>327</v>
      </c>
      <c r="J31" s="25">
        <v>79730</v>
      </c>
      <c r="K31" s="25">
        <v>73596</v>
      </c>
      <c r="L31" s="25">
        <v>0</v>
      </c>
      <c r="M31" s="26">
        <v>2072.1324999999997</v>
      </c>
      <c r="N31" s="26">
        <v>30448.816800000001</v>
      </c>
      <c r="O31" s="26">
        <v>497.30939999999998</v>
      </c>
      <c r="P31" s="25">
        <v>0</v>
      </c>
      <c r="Q31" s="25">
        <v>0</v>
      </c>
      <c r="R31" s="25">
        <v>244</v>
      </c>
      <c r="S31" s="25">
        <v>0</v>
      </c>
      <c r="T31" s="22">
        <v>279660.25870000001</v>
      </c>
    </row>
    <row r="32" spans="1:20" x14ac:dyDescent="0.3">
      <c r="A32" s="13">
        <v>2004</v>
      </c>
      <c r="B32" s="21">
        <v>480097</v>
      </c>
      <c r="C32" s="27">
        <v>0</v>
      </c>
      <c r="D32" s="25">
        <v>1166</v>
      </c>
      <c r="E32" s="25">
        <v>96</v>
      </c>
      <c r="F32" s="25">
        <v>7016</v>
      </c>
      <c r="G32" s="25">
        <v>65083</v>
      </c>
      <c r="H32" s="25">
        <v>1158</v>
      </c>
      <c r="I32" s="26">
        <v>235.93200000000002</v>
      </c>
      <c r="J32" s="26">
        <v>144812.6367</v>
      </c>
      <c r="K32" s="26">
        <v>163350.15119999999</v>
      </c>
      <c r="L32" s="25">
        <v>0</v>
      </c>
      <c r="M32" s="25">
        <v>0</v>
      </c>
      <c r="N32" s="25">
        <v>45616</v>
      </c>
      <c r="O32" s="25">
        <v>244</v>
      </c>
      <c r="P32" s="25">
        <v>0</v>
      </c>
      <c r="Q32" s="25">
        <v>1142</v>
      </c>
      <c r="R32" s="25">
        <v>0</v>
      </c>
      <c r="S32" s="25">
        <v>0</v>
      </c>
      <c r="T32" s="22">
        <v>429919.71990000003</v>
      </c>
    </row>
    <row r="33" spans="1:20" x14ac:dyDescent="0.3">
      <c r="A33" s="13">
        <v>2005</v>
      </c>
      <c r="B33" s="21">
        <v>290000</v>
      </c>
      <c r="C33" s="27">
        <v>0</v>
      </c>
      <c r="D33" s="25">
        <v>564</v>
      </c>
      <c r="E33" s="25">
        <v>181</v>
      </c>
      <c r="F33" s="26">
        <v>1961.5703000000001</v>
      </c>
      <c r="G33" s="26">
        <v>26111.594000000001</v>
      </c>
      <c r="H33" s="26">
        <v>571.95899999999995</v>
      </c>
      <c r="I33" s="25">
        <v>0</v>
      </c>
      <c r="J33" s="25">
        <v>80858</v>
      </c>
      <c r="K33" s="25">
        <v>35531</v>
      </c>
      <c r="L33" s="25">
        <v>0</v>
      </c>
      <c r="M33" s="25">
        <v>1604</v>
      </c>
      <c r="N33" s="25">
        <v>17003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2">
        <v>164386.12330000001</v>
      </c>
    </row>
    <row r="34" spans="1:20" x14ac:dyDescent="0.3">
      <c r="A34" s="13">
        <v>2006</v>
      </c>
      <c r="B34" s="21">
        <v>215000</v>
      </c>
      <c r="C34" s="27">
        <v>0</v>
      </c>
      <c r="D34" s="26">
        <v>488.21050000000002</v>
      </c>
      <c r="E34" s="26">
        <v>429.6275</v>
      </c>
      <c r="F34" s="25">
        <v>2386</v>
      </c>
      <c r="G34" s="25">
        <v>30824</v>
      </c>
      <c r="H34" s="25">
        <v>3136</v>
      </c>
      <c r="I34" s="25">
        <v>273</v>
      </c>
      <c r="J34" s="25">
        <v>26912</v>
      </c>
      <c r="K34" s="25">
        <v>98009</v>
      </c>
      <c r="L34" s="25">
        <v>147</v>
      </c>
      <c r="M34" s="25">
        <v>0</v>
      </c>
      <c r="N34" s="25">
        <v>39325</v>
      </c>
      <c r="O34" s="25">
        <v>1618</v>
      </c>
      <c r="P34" s="25">
        <v>0</v>
      </c>
      <c r="Q34" s="25">
        <v>0</v>
      </c>
      <c r="R34" s="25">
        <v>1188</v>
      </c>
      <c r="S34" s="25">
        <v>145</v>
      </c>
      <c r="T34" s="22">
        <v>204880.83799999999</v>
      </c>
    </row>
    <row r="35" spans="1:20" x14ac:dyDescent="0.3">
      <c r="A35" s="13">
        <v>2007</v>
      </c>
      <c r="B35" s="21">
        <v>180000</v>
      </c>
      <c r="C35" s="27">
        <v>0</v>
      </c>
      <c r="D35" s="25">
        <v>0</v>
      </c>
      <c r="E35" s="25">
        <v>1296</v>
      </c>
      <c r="F35" s="25">
        <v>0</v>
      </c>
      <c r="G35" s="25">
        <v>11964</v>
      </c>
      <c r="H35" s="25">
        <v>2859</v>
      </c>
      <c r="I35" s="25">
        <v>85</v>
      </c>
      <c r="J35" s="25">
        <v>11822</v>
      </c>
      <c r="K35" s="25">
        <v>66603</v>
      </c>
      <c r="L35" s="25">
        <v>0</v>
      </c>
      <c r="M35" s="25">
        <v>317</v>
      </c>
      <c r="N35" s="25">
        <v>49128</v>
      </c>
      <c r="O35" s="25">
        <v>2560</v>
      </c>
      <c r="P35" s="25">
        <v>145</v>
      </c>
      <c r="Q35" s="25">
        <v>1292</v>
      </c>
      <c r="R35" s="25">
        <v>554</v>
      </c>
      <c r="S35" s="25">
        <v>0</v>
      </c>
      <c r="T35" s="22">
        <v>148625</v>
      </c>
    </row>
    <row r="36" spans="1:20" x14ac:dyDescent="0.3">
      <c r="A36" s="13">
        <v>2008</v>
      </c>
      <c r="B36" s="21">
        <v>141600</v>
      </c>
      <c r="C36" s="25">
        <v>0</v>
      </c>
      <c r="D36" s="25">
        <v>0</v>
      </c>
      <c r="E36" s="25">
        <v>2989</v>
      </c>
      <c r="F36" s="25">
        <v>2034</v>
      </c>
      <c r="G36" s="25">
        <v>62468</v>
      </c>
      <c r="H36" s="25">
        <v>1716</v>
      </c>
      <c r="I36" s="25">
        <v>0</v>
      </c>
      <c r="J36" s="25">
        <v>73143</v>
      </c>
      <c r="K36" s="25">
        <v>189559</v>
      </c>
      <c r="L36" s="25">
        <v>0</v>
      </c>
      <c r="M36" s="25">
        <v>893</v>
      </c>
      <c r="N36" s="25">
        <v>57108</v>
      </c>
      <c r="O36" s="25">
        <v>410</v>
      </c>
      <c r="P36" s="25">
        <v>0</v>
      </c>
      <c r="Q36" s="25">
        <v>0</v>
      </c>
      <c r="R36" s="25">
        <v>0</v>
      </c>
      <c r="S36" s="25">
        <v>0</v>
      </c>
      <c r="T36" s="22">
        <v>390320</v>
      </c>
    </row>
    <row r="37" spans="1:20" x14ac:dyDescent="0.3">
      <c r="A37" s="13">
        <v>2009</v>
      </c>
      <c r="B37" s="21">
        <v>157000</v>
      </c>
      <c r="C37" s="25">
        <v>0</v>
      </c>
      <c r="D37" s="25">
        <v>0</v>
      </c>
      <c r="E37" s="25">
        <v>34315</v>
      </c>
      <c r="F37" s="25">
        <v>551</v>
      </c>
      <c r="G37" s="25">
        <v>144145</v>
      </c>
      <c r="H37" s="25">
        <v>2426</v>
      </c>
      <c r="I37" s="25">
        <v>82</v>
      </c>
      <c r="J37" s="25">
        <v>98081</v>
      </c>
      <c r="K37" s="25">
        <v>157232</v>
      </c>
      <c r="L37" s="25">
        <v>0</v>
      </c>
      <c r="M37" s="25">
        <v>0</v>
      </c>
      <c r="N37" s="25">
        <v>50372</v>
      </c>
      <c r="O37" s="25">
        <v>7474</v>
      </c>
      <c r="P37" s="25">
        <v>0</v>
      </c>
      <c r="Q37" s="25">
        <v>0</v>
      </c>
      <c r="R37" s="25">
        <v>0</v>
      </c>
      <c r="S37" s="25">
        <v>0</v>
      </c>
      <c r="T37" s="25">
        <v>494678</v>
      </c>
    </row>
    <row r="38" spans="1:20" x14ac:dyDescent="0.3">
      <c r="A38" s="13">
        <v>2010</v>
      </c>
      <c r="B38" s="21">
        <v>108000</v>
      </c>
      <c r="C38" s="25">
        <v>0</v>
      </c>
      <c r="D38" s="25">
        <v>1372</v>
      </c>
      <c r="E38" s="25">
        <v>808</v>
      </c>
      <c r="F38" s="28">
        <v>4285</v>
      </c>
      <c r="G38" s="28">
        <v>132747</v>
      </c>
      <c r="H38" s="28">
        <v>6293</v>
      </c>
      <c r="I38" s="25">
        <v>0</v>
      </c>
      <c r="J38" s="25">
        <v>24898</v>
      </c>
      <c r="K38" s="25">
        <v>378437</v>
      </c>
      <c r="L38" s="25">
        <v>662</v>
      </c>
      <c r="M38" s="25">
        <v>0</v>
      </c>
      <c r="N38" s="25">
        <v>61935</v>
      </c>
      <c r="O38" s="25">
        <v>4127</v>
      </c>
      <c r="P38" s="25">
        <v>0</v>
      </c>
      <c r="Q38" s="25">
        <v>0</v>
      </c>
      <c r="R38" s="25">
        <v>0</v>
      </c>
      <c r="S38" s="25">
        <v>0</v>
      </c>
      <c r="T38" s="25">
        <v>615564</v>
      </c>
    </row>
    <row r="39" spans="1:20" x14ac:dyDescent="0.3">
      <c r="A39" s="13">
        <v>2011</v>
      </c>
      <c r="B39" s="21">
        <v>89000</v>
      </c>
      <c r="C39" s="25">
        <v>0</v>
      </c>
      <c r="D39" s="25">
        <v>221</v>
      </c>
      <c r="E39" s="25">
        <v>1369</v>
      </c>
      <c r="F39" s="25">
        <v>254</v>
      </c>
      <c r="G39" s="25">
        <v>60056</v>
      </c>
      <c r="H39" s="25">
        <v>35843</v>
      </c>
      <c r="I39" s="25">
        <v>0</v>
      </c>
      <c r="J39" s="25">
        <v>45176</v>
      </c>
      <c r="K39" s="25">
        <v>325695</v>
      </c>
      <c r="L39" s="25">
        <v>0</v>
      </c>
      <c r="M39" s="25">
        <v>0</v>
      </c>
      <c r="N39" s="25">
        <v>57501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526115</v>
      </c>
    </row>
    <row r="40" spans="1:20" x14ac:dyDescent="0.3">
      <c r="A40" s="13">
        <v>2012</v>
      </c>
      <c r="B40" s="21">
        <v>103300</v>
      </c>
      <c r="C40" s="25">
        <v>0</v>
      </c>
      <c r="D40" s="25">
        <v>0</v>
      </c>
      <c r="E40" s="25">
        <v>8532</v>
      </c>
      <c r="F40" s="25">
        <v>0</v>
      </c>
      <c r="G40" s="25">
        <v>116014</v>
      </c>
      <c r="H40" s="25">
        <v>38668</v>
      </c>
      <c r="I40" s="25">
        <v>0</v>
      </c>
      <c r="J40" s="25">
        <v>45460</v>
      </c>
      <c r="K40" s="25">
        <v>375078</v>
      </c>
      <c r="L40" s="25">
        <v>0</v>
      </c>
      <c r="M40" s="25">
        <v>0</v>
      </c>
      <c r="N40" s="25">
        <v>65640.383090000003</v>
      </c>
      <c r="O40" s="25">
        <v>0</v>
      </c>
      <c r="P40" s="25">
        <v>0</v>
      </c>
      <c r="Q40" s="25">
        <v>157.63994</v>
      </c>
      <c r="R40" s="25">
        <v>0</v>
      </c>
      <c r="S40" s="25">
        <v>0</v>
      </c>
      <c r="T40" s="25">
        <v>649550.02303000004</v>
      </c>
    </row>
    <row r="41" spans="1:20" x14ac:dyDescent="0.3">
      <c r="A41" s="13">
        <v>2013</v>
      </c>
      <c r="B41" s="21">
        <v>248000</v>
      </c>
      <c r="C41" s="25">
        <v>0</v>
      </c>
      <c r="D41" s="25">
        <v>0</v>
      </c>
      <c r="E41" s="25">
        <v>10170</v>
      </c>
      <c r="F41" s="25">
        <v>0</v>
      </c>
      <c r="G41" s="25">
        <v>218766</v>
      </c>
      <c r="H41" s="25">
        <v>31392</v>
      </c>
      <c r="I41" s="25">
        <v>0</v>
      </c>
      <c r="J41" s="25">
        <v>42944.010630000004</v>
      </c>
      <c r="K41" s="25">
        <v>241768.18150000001</v>
      </c>
      <c r="L41" s="25">
        <v>0</v>
      </c>
      <c r="M41" s="25">
        <v>0</v>
      </c>
      <c r="N41" s="25">
        <v>28244.335009999999</v>
      </c>
      <c r="O41" s="25">
        <v>316.48937999999998</v>
      </c>
      <c r="P41" s="25">
        <v>0</v>
      </c>
      <c r="Q41" s="25">
        <v>0</v>
      </c>
      <c r="R41" s="25">
        <v>0</v>
      </c>
      <c r="S41" s="25">
        <v>0</v>
      </c>
      <c r="T41" s="25">
        <v>573601.01652000018</v>
      </c>
    </row>
    <row r="42" spans="1:20" x14ac:dyDescent="0.3">
      <c r="A42" s="13">
        <v>2014</v>
      </c>
      <c r="B42" s="21">
        <v>250000</v>
      </c>
      <c r="C42" s="25">
        <v>0</v>
      </c>
      <c r="D42" s="25">
        <v>0</v>
      </c>
      <c r="E42" s="25">
        <v>456</v>
      </c>
      <c r="F42" s="25">
        <v>0</v>
      </c>
      <c r="G42" s="25">
        <v>31427.056180000003</v>
      </c>
      <c r="H42" s="25">
        <v>3779.5385800000004</v>
      </c>
      <c r="I42" s="25">
        <v>0</v>
      </c>
      <c r="J42" s="25">
        <v>21249.818090000001</v>
      </c>
      <c r="K42" s="25">
        <v>85210.167740000004</v>
      </c>
      <c r="L42" s="25">
        <v>0</v>
      </c>
      <c r="M42" s="25">
        <v>0</v>
      </c>
      <c r="N42" s="25">
        <v>12202.895660000002</v>
      </c>
      <c r="O42" s="25">
        <v>342.25194999999997</v>
      </c>
      <c r="P42" s="25">
        <v>0</v>
      </c>
      <c r="Q42" s="25">
        <v>0</v>
      </c>
      <c r="R42" s="25">
        <v>0</v>
      </c>
      <c r="S42" s="25">
        <v>0</v>
      </c>
      <c r="T42" s="29">
        <v>154667.72820000004</v>
      </c>
    </row>
    <row r="43" spans="1:20" x14ac:dyDescent="0.3">
      <c r="A43" s="13">
        <v>2015</v>
      </c>
      <c r="B43" s="21">
        <v>257000</v>
      </c>
      <c r="C43" s="27">
        <v>0</v>
      </c>
      <c r="D43" s="25">
        <v>170.92161999999999</v>
      </c>
      <c r="E43" s="25">
        <v>575.07773999999995</v>
      </c>
      <c r="F43" s="25">
        <v>237.33728000000002</v>
      </c>
      <c r="G43" s="25">
        <v>44140.053950000001</v>
      </c>
      <c r="H43" s="25">
        <v>16480.902969999999</v>
      </c>
      <c r="I43" s="25">
        <v>0</v>
      </c>
      <c r="J43" s="25">
        <v>15650.888630000001</v>
      </c>
      <c r="K43" s="25">
        <v>189643.80807000003</v>
      </c>
      <c r="L43" s="27">
        <v>0</v>
      </c>
      <c r="M43" s="25">
        <v>648.04732747705452</v>
      </c>
      <c r="N43" s="25">
        <v>50180.534372179623</v>
      </c>
      <c r="O43" s="25">
        <v>0</v>
      </c>
      <c r="P43" s="27">
        <v>0</v>
      </c>
      <c r="Q43" s="27">
        <v>0</v>
      </c>
      <c r="R43" s="27">
        <v>0</v>
      </c>
      <c r="S43" s="27">
        <v>0</v>
      </c>
      <c r="T43" s="25">
        <v>317727.57195965678</v>
      </c>
    </row>
    <row r="44" spans="1:20" x14ac:dyDescent="0.3">
      <c r="A44" s="13">
        <v>2016</v>
      </c>
      <c r="B44" s="21">
        <v>300000</v>
      </c>
      <c r="C44" s="27">
        <v>0</v>
      </c>
      <c r="D44" s="25">
        <v>0</v>
      </c>
      <c r="E44" s="25">
        <v>2842.2680399999999</v>
      </c>
      <c r="F44" s="25">
        <v>0</v>
      </c>
      <c r="G44" s="25">
        <v>55074.868190000008</v>
      </c>
      <c r="H44" s="25">
        <v>3466.9769800000008</v>
      </c>
      <c r="I44" s="25">
        <v>0</v>
      </c>
      <c r="J44" s="25">
        <v>31988.474284297998</v>
      </c>
      <c r="K44" s="25">
        <v>60871.769550285106</v>
      </c>
      <c r="L44" s="25">
        <v>0</v>
      </c>
      <c r="M44" s="27">
        <v>0</v>
      </c>
      <c r="N44" s="25">
        <v>26508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5"/>
    </row>
    <row r="45" spans="1:20" x14ac:dyDescent="0.3">
      <c r="A45" s="13">
        <v>2017</v>
      </c>
      <c r="B45" s="21">
        <v>381000</v>
      </c>
      <c r="C45" s="27">
        <v>0</v>
      </c>
      <c r="D45" s="25">
        <v>0</v>
      </c>
      <c r="E45" s="25">
        <v>659</v>
      </c>
      <c r="F45" s="25">
        <v>0</v>
      </c>
      <c r="G45" s="25">
        <v>59717.676858219682</v>
      </c>
      <c r="H45" s="25">
        <v>1514.242601598844</v>
      </c>
      <c r="I45" s="25">
        <v>0</v>
      </c>
      <c r="J45" s="25">
        <v>39821</v>
      </c>
      <c r="K45" s="25">
        <v>38163</v>
      </c>
      <c r="L45" s="25">
        <v>0</v>
      </c>
      <c r="M45" s="27">
        <v>234</v>
      </c>
      <c r="N45" s="27">
        <v>5410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5"/>
    </row>
    <row r="46" spans="1:20" x14ac:dyDescent="0.3">
      <c r="A46" s="13">
        <v>2018</v>
      </c>
      <c r="B46" s="21">
        <v>221000</v>
      </c>
      <c r="C46" s="27">
        <v>0</v>
      </c>
      <c r="D46" s="25">
        <v>0</v>
      </c>
      <c r="E46" s="25">
        <v>0</v>
      </c>
      <c r="F46" s="25">
        <v>373</v>
      </c>
      <c r="G46" s="25">
        <v>15957</v>
      </c>
      <c r="H46" s="25">
        <v>4502</v>
      </c>
      <c r="I46" s="27">
        <v>340</v>
      </c>
      <c r="J46" s="27">
        <v>15907</v>
      </c>
      <c r="K46" s="27">
        <v>14675</v>
      </c>
      <c r="L46" s="27">
        <v>0</v>
      </c>
      <c r="M46" s="27">
        <v>0</v>
      </c>
      <c r="N46" s="27">
        <v>4033</v>
      </c>
      <c r="O46" s="27">
        <v>1131</v>
      </c>
      <c r="P46" s="27">
        <v>0</v>
      </c>
      <c r="Q46" s="27">
        <v>0</v>
      </c>
      <c r="R46" s="27">
        <v>0</v>
      </c>
      <c r="S46" s="27">
        <v>0</v>
      </c>
      <c r="T46" s="25"/>
    </row>
    <row r="47" spans="1:20" x14ac:dyDescent="0.3">
      <c r="A47" s="13">
        <v>2019</v>
      </c>
      <c r="B47" s="21">
        <v>115000</v>
      </c>
      <c r="C47" s="27">
        <v>0</v>
      </c>
      <c r="D47" s="25">
        <v>526</v>
      </c>
      <c r="E47" s="25">
        <v>30649</v>
      </c>
      <c r="F47" s="27">
        <v>1002</v>
      </c>
      <c r="G47" s="27">
        <v>226229</v>
      </c>
      <c r="H47" s="27">
        <v>11265</v>
      </c>
      <c r="I47" s="27">
        <v>0</v>
      </c>
      <c r="J47" s="27">
        <v>55275</v>
      </c>
      <c r="K47" s="27">
        <v>26043</v>
      </c>
      <c r="L47" s="27">
        <v>0</v>
      </c>
      <c r="M47" s="27">
        <v>0</v>
      </c>
      <c r="N47" s="27">
        <v>3670</v>
      </c>
      <c r="O47" s="27">
        <v>0</v>
      </c>
      <c r="P47" s="27"/>
      <c r="Q47" s="27"/>
      <c r="R47" s="27"/>
      <c r="S47" s="27"/>
      <c r="T47" s="25"/>
    </row>
    <row r="48" spans="1:20" x14ac:dyDescent="0.3">
      <c r="A48" s="13">
        <v>2020</v>
      </c>
      <c r="B48" s="21">
        <v>185000</v>
      </c>
      <c r="C48" s="27">
        <v>0</v>
      </c>
      <c r="D48" s="25">
        <v>0</v>
      </c>
      <c r="E48" s="25">
        <v>56810</v>
      </c>
      <c r="F48" s="27">
        <v>4</v>
      </c>
      <c r="G48" s="27">
        <v>846223</v>
      </c>
      <c r="H48" s="27">
        <v>18783</v>
      </c>
      <c r="I48" s="27">
        <v>0</v>
      </c>
      <c r="J48" s="27">
        <v>83427</v>
      </c>
      <c r="K48" s="27">
        <v>302813</v>
      </c>
      <c r="L48" s="27">
        <v>0</v>
      </c>
      <c r="M48" s="27"/>
      <c r="N48" s="27"/>
      <c r="O48" s="27"/>
      <c r="P48" s="27"/>
      <c r="Q48" s="27"/>
      <c r="R48" s="27"/>
      <c r="S48" s="27"/>
      <c r="T48" s="25"/>
    </row>
    <row r="49" spans="1:23" x14ac:dyDescent="0.3">
      <c r="A49" s="63">
        <v>2021</v>
      </c>
      <c r="B49" s="64">
        <v>110000</v>
      </c>
      <c r="C49" s="65">
        <v>0</v>
      </c>
      <c r="D49" s="66">
        <v>1042</v>
      </c>
      <c r="E49" s="66">
        <v>6747</v>
      </c>
      <c r="F49" s="65">
        <v>85</v>
      </c>
      <c r="G49" s="65">
        <v>378050</v>
      </c>
      <c r="H49" s="65">
        <v>11199</v>
      </c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  <c r="U49" s="67"/>
      <c r="V49" s="67"/>
      <c r="W49" s="67"/>
    </row>
    <row r="50" spans="1:23" x14ac:dyDescent="0.3">
      <c r="A50" s="63">
        <v>2022</v>
      </c>
      <c r="B50" s="64">
        <v>98000</v>
      </c>
      <c r="C50" s="65">
        <v>0</v>
      </c>
      <c r="D50" s="66">
        <v>0</v>
      </c>
      <c r="E50" s="66">
        <v>3060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6"/>
      <c r="U50" s="67"/>
      <c r="V50" s="67"/>
      <c r="W50" s="67"/>
    </row>
    <row r="51" spans="1:23" x14ac:dyDescent="0.3">
      <c r="A51" s="63">
        <v>2023</v>
      </c>
      <c r="B51" s="64">
        <v>230213</v>
      </c>
      <c r="C51" s="65">
        <v>0</v>
      </c>
      <c r="D51" s="66"/>
      <c r="E51" s="66"/>
      <c r="F51" s="66"/>
      <c r="G51" s="66"/>
      <c r="H51" s="66"/>
      <c r="I51" s="66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</row>
    <row r="52" spans="1:23" x14ac:dyDescent="0.3">
      <c r="A52" s="63">
        <v>2024</v>
      </c>
      <c r="B52" s="64">
        <v>754766</v>
      </c>
      <c r="C52" s="65"/>
      <c r="D52" s="66"/>
      <c r="E52" s="66"/>
      <c r="F52" s="66"/>
      <c r="G52" s="66"/>
      <c r="H52" s="66"/>
      <c r="I52" s="66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</row>
    <row r="53" spans="1:23" x14ac:dyDescent="0.3">
      <c r="A53" s="63">
        <v>2025</v>
      </c>
      <c r="B53" s="64">
        <v>552224</v>
      </c>
      <c r="C53" s="65"/>
      <c r="D53" s="66"/>
      <c r="E53" s="66"/>
      <c r="F53" s="66"/>
      <c r="G53" s="66"/>
      <c r="H53" s="66"/>
      <c r="I53" s="65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</row>
    <row r="54" spans="1:23" x14ac:dyDescent="0.3">
      <c r="A54" s="63"/>
      <c r="B54" s="64"/>
      <c r="C54" s="65"/>
      <c r="D54" s="66"/>
      <c r="E54" s="66"/>
      <c r="F54" s="65"/>
      <c r="G54" s="65"/>
      <c r="H54" s="65"/>
      <c r="I54" s="65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pans="1:23" x14ac:dyDescent="0.3">
      <c r="A55" s="13"/>
      <c r="B55" s="21"/>
      <c r="C55" s="27"/>
      <c r="D55" s="25"/>
      <c r="E55" s="25"/>
      <c r="F55" s="27"/>
      <c r="G55" s="27"/>
      <c r="H55" s="27"/>
      <c r="I55" s="27"/>
    </row>
    <row r="56" spans="1:23" x14ac:dyDescent="0.3">
      <c r="A56" s="63"/>
      <c r="B56" s="64"/>
      <c r="C56" s="65"/>
      <c r="D56" s="66"/>
      <c r="E56" s="66"/>
      <c r="F56" s="65"/>
      <c r="G56" s="65"/>
      <c r="H56" s="65"/>
      <c r="I56" s="65"/>
      <c r="J56" s="67"/>
    </row>
    <row r="57" spans="1:23" x14ac:dyDescent="0.3">
      <c r="A57" s="63"/>
      <c r="B57" s="64"/>
      <c r="C57" s="65"/>
      <c r="D57" s="66"/>
      <c r="E57" s="66"/>
      <c r="F57" s="65"/>
      <c r="G57" s="65"/>
      <c r="H57" s="65"/>
      <c r="I57" s="65"/>
      <c r="J57" s="67"/>
    </row>
    <row r="58" spans="1:23" x14ac:dyDescent="0.3">
      <c r="A58" s="71"/>
      <c r="B58" s="67"/>
      <c r="C58" s="67"/>
      <c r="D58" s="67"/>
      <c r="E58" s="67"/>
      <c r="F58" s="67"/>
      <c r="G58" s="67"/>
      <c r="H58" s="67"/>
      <c r="I58" s="67"/>
      <c r="J58" s="67"/>
    </row>
    <row r="59" spans="1:23" x14ac:dyDescent="0.3">
      <c r="A59" s="71"/>
      <c r="B59" s="67"/>
      <c r="C59" s="67"/>
      <c r="D59" s="67"/>
      <c r="E59" s="67"/>
      <c r="F59" s="67"/>
      <c r="G59" s="67"/>
      <c r="H59" s="67"/>
      <c r="I59" s="67"/>
      <c r="J59" s="67"/>
    </row>
    <row r="60" spans="1:23" x14ac:dyDescent="0.3">
      <c r="A60" s="71"/>
      <c r="B60" s="67"/>
      <c r="C60" s="67"/>
      <c r="D60" s="67"/>
      <c r="E60" s="67"/>
      <c r="F60" s="67"/>
      <c r="G60" s="67"/>
      <c r="H60" s="67"/>
      <c r="I60" s="67"/>
      <c r="J60" s="67"/>
    </row>
  </sheetData>
  <mergeCells count="1">
    <mergeCell ref="C4:S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7F0819F624B64380D4A57CCDAC7781" ma:contentTypeVersion="5" ma:contentTypeDescription="Create a new document." ma:contentTypeScope="" ma:versionID="86bb3884491965953eb9edd61ce89e59">
  <xsd:schema xmlns:xsd="http://www.w3.org/2001/XMLSchema" xmlns:xs="http://www.w3.org/2001/XMLSchema" xmlns:p="http://schemas.microsoft.com/office/2006/metadata/properties" xmlns:ns3="98f28830-e830-43ef-8ed3-456beba03c0a" xmlns:ns4="eac37eda-f897-49eb-801c-08fa018b6265" targetNamespace="http://schemas.microsoft.com/office/2006/metadata/properties" ma:root="true" ma:fieldsID="86d841438cda779827df5b5a9c00e84b" ns3:_="" ns4:_="">
    <xsd:import namespace="98f28830-e830-43ef-8ed3-456beba03c0a"/>
    <xsd:import namespace="eac37eda-f897-49eb-801c-08fa018b626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f28830-e830-43ef-8ed3-456beba03c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37eda-f897-49eb-801c-08fa018b6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8DDC1D-ADB2-485A-9604-44D0A769D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f28830-e830-43ef-8ed3-456beba03c0a"/>
    <ds:schemaRef ds:uri="eac37eda-f897-49eb-801c-08fa018b6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456E9D-448D-4FD4-B1BA-6448B4F0A567}">
  <ds:schemaRefs>
    <ds:schemaRef ds:uri="http://purl.org/dc/dcmitype/"/>
    <ds:schemaRef ds:uri="http://schemas.microsoft.com/office/2006/documentManagement/types"/>
    <ds:schemaRef ds:uri="http://purl.org/dc/terms/"/>
    <ds:schemaRef ds:uri="98f28830-e830-43ef-8ed3-456beba03c0a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ac37eda-f897-49eb-801c-08fa018b6265"/>
  </ds:schemaRefs>
</ds:datastoreItem>
</file>

<file path=customXml/itemProps3.xml><?xml version="1.0" encoding="utf-8"?>
<ds:datastoreItem xmlns:ds="http://schemas.openxmlformats.org/officeDocument/2006/customXml" ds:itemID="{EFDDACAA-F9AB-4B20-A020-54C6A09360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Upper Stn Late</vt:lpstr>
      <vt:lpstr>Upper Stn Early</vt:lpstr>
      <vt:lpstr>Frazer</vt:lpstr>
      <vt:lpstr>Ayakulik</vt:lpstr>
      <vt:lpstr>Karluk Late</vt:lpstr>
      <vt:lpstr>Karluk Early</vt:lpstr>
      <vt:lpstr>chignik early</vt:lpstr>
      <vt:lpstr>chignik late</vt:lpstr>
      <vt:lpstr>Bear LR Brood</vt:lpstr>
      <vt:lpstr>Nelson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mbf</dc:creator>
  <cp:lastModifiedBy>Foster, M Birch (DFG)</cp:lastModifiedBy>
  <dcterms:created xsi:type="dcterms:W3CDTF">2023-03-10T22:53:43Z</dcterms:created>
  <dcterms:modified xsi:type="dcterms:W3CDTF">2026-07-10T00:24:20Z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0x010100627F0819F624B64380D4A57CCDAC7781</vt:lpwstr>
  </property>
</Properties>
</file>