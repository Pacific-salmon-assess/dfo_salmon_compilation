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teofalaska-my.sharepoint.com/personal/andrew_munro_alaska_gov/Documents/Desktop/AK Sockeye Brood Tables_update/"/>
    </mc:Choice>
  </mc:AlternateContent>
  <xr:revisionPtr revIDLastSave="29" documentId="13_ncr:1_{35C731B0-EB75-4249-AE15-B317C83E0CCF}" xr6:coauthVersionLast="47" xr6:coauthVersionMax="47" xr10:uidLastSave="{8E267207-9E83-4FD9-BFBB-74B10061FFF8}"/>
  <bookViews>
    <workbookView xWindow="3285" yWindow="1755" windowWidth="28800" windowHeight="11295" xr2:uid="{6853D935-6793-4849-B608-F0A2E083F403}"/>
  </bookViews>
  <sheets>
    <sheet name="Kenai R. sockey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1" l="1"/>
  <c r="Q60" i="1"/>
  <c r="Q56" i="1"/>
  <c r="Q55" i="1"/>
  <c r="T55" i="1" l="1"/>
  <c r="T56" i="1"/>
  <c r="T57" i="1"/>
  <c r="T58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54" i="1" l="1"/>
  <c r="T54" i="1" s="1"/>
  <c r="R53" i="1" l="1"/>
  <c r="T53" i="1" s="1"/>
  <c r="S53" i="1" l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7" i="1"/>
  <c r="Q58" i="1"/>
  <c r="Q59" i="1"/>
  <c r="T5" i="1" l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R52" i="1"/>
  <c r="R51" i="1"/>
  <c r="T51" i="1" s="1"/>
  <c r="R50" i="1"/>
  <c r="T50" i="1" s="1"/>
  <c r="R49" i="1"/>
  <c r="T49" i="1" s="1"/>
  <c r="R48" i="1"/>
  <c r="T48" i="1" s="1"/>
  <c r="R47" i="1"/>
  <c r="T47" i="1" s="1"/>
  <c r="R46" i="1"/>
  <c r="T46" i="1" s="1"/>
  <c r="R45" i="1"/>
  <c r="T45" i="1" s="1"/>
  <c r="R44" i="1"/>
  <c r="T44" i="1" s="1"/>
  <c r="R43" i="1"/>
  <c r="T43" i="1" s="1"/>
  <c r="R42" i="1"/>
  <c r="S42" i="1" s="1"/>
  <c r="R41" i="1"/>
  <c r="S41" i="1" s="1"/>
  <c r="R40" i="1"/>
  <c r="T40" i="1" s="1"/>
  <c r="R39" i="1"/>
  <c r="T39" i="1" s="1"/>
  <c r="R38" i="1"/>
  <c r="T38" i="1" s="1"/>
  <c r="R37" i="1"/>
  <c r="T37" i="1" s="1"/>
  <c r="R36" i="1"/>
  <c r="T36" i="1" s="1"/>
  <c r="R35" i="1"/>
  <c r="T35" i="1" s="1"/>
  <c r="S4" i="1"/>
  <c r="S39" i="1" l="1"/>
  <c r="T41" i="1"/>
  <c r="T42" i="1"/>
  <c r="S48" i="1"/>
  <c r="T52" i="1"/>
  <c r="S52" i="1"/>
  <c r="S51" i="1"/>
  <c r="S40" i="1"/>
  <c r="S50" i="1"/>
  <c r="S38" i="1"/>
  <c r="S49" i="1"/>
  <c r="S37" i="1"/>
  <c r="S36" i="1"/>
  <c r="S47" i="1"/>
  <c r="S35" i="1"/>
  <c r="S46" i="1"/>
  <c r="S45" i="1"/>
  <c r="S44" i="1"/>
  <c r="S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Gatt, Kyle P (DFG)</author>
  </authors>
  <commentList>
    <comment ref="B59" authorId="0" shapeId="0" xr:uid="{3FCD9225-695D-4002-B466-846290D7CC27}">
      <text>
        <r>
          <rPr>
            <b/>
            <sz val="9"/>
            <color indexed="81"/>
            <rFont val="Tahoma"/>
            <family val="2"/>
          </rPr>
          <t>Gatt, Kyle P (DFG):
Escapement estimate from SF AMR T18 9/22/2025</t>
        </r>
      </text>
    </comment>
  </commentList>
</comments>
</file>

<file path=xl/sharedStrings.xml><?xml version="1.0" encoding="utf-8"?>
<sst xmlns="http://schemas.openxmlformats.org/spreadsheetml/2006/main" count="9" uniqueCount="9">
  <si>
    <t>Spawners</t>
  </si>
  <si>
    <t>Brood.Year</t>
  </si>
  <si>
    <t>Run</t>
  </si>
  <si>
    <t>Return</t>
  </si>
  <si>
    <t>Yield</t>
  </si>
  <si>
    <t>R/S</t>
  </si>
  <si>
    <t>GSI Adjusted using average stock comp in commerical harvest</t>
  </si>
  <si>
    <t>Adult Return</t>
  </si>
  <si>
    <t>Kenai River sockeye brood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</si>
</sst>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0.0%"/>
  </numFmts>
  <fonts count="9" x14ac:knownFonts="1">
    <font>
      <sz val="11"/>
      <color theme="1"/>
      <name val="Times New Roman"/>
      <family val="2"/>
    </font>
    <font>
      <b/>
      <sz val="9"/>
      <color indexed="81"/>
      <name val="Tahoma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sz val="11"/>
      <color rgb="FF006100"/>
      <name val="Times New Roman"/>
      <family val="2"/>
    </font>
    <font>
      <sz val="11"/>
      <color rgb="FF9C5700"/>
      <name val="Times New Roman"/>
      <family val="2"/>
    </font>
    <font>
      <sz val="11"/>
      <color theme="1"/>
      <name val="Times New Roman"/>
      <family val="2"/>
    </font>
    <font>
      <sz val="10"/>
      <color rgb="FF006100"/>
      <name val="Times New Roman"/>
      <family val="1"/>
    </font>
    <font>
      <sz val="10"/>
      <color theme="9" tint="-0.49998474074526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21">
    <xf numFmtId="0" fontId="0" fillId="0" borderId="0" xfId="0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3" fontId="2" fillId="0" borderId="0" xfId="0" applyNumberFormat="1" applyFont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3" fontId="3" fillId="0" borderId="0" xfId="0" applyNumberFormat="1" applyFont="1" applyAlignment="1">
      <alignment horizontal="right"/>
    </xf>
    <xf numFmtId="3" fontId="3" fillId="0" borderId="0" xfId="0" applyNumberFormat="1" applyFont="1"/>
    <xf numFmtId="164" fontId="3" fillId="0" borderId="0" xfId="0" applyNumberFormat="1" applyFont="1"/>
    <xf numFmtId="2" fontId="3" fillId="0" borderId="0" xfId="0" applyNumberFormat="1" applyFont="1"/>
    <xf numFmtId="1" fontId="3" fillId="0" borderId="0" xfId="0" applyNumberFormat="1" applyFont="1" applyAlignment="1">
      <alignment horizontal="left"/>
    </xf>
    <xf numFmtId="3" fontId="3" fillId="0" borderId="0" xfId="4" applyNumberFormat="1" applyFont="1"/>
    <xf numFmtId="3" fontId="7" fillId="4" borderId="0" xfId="1" applyNumberFormat="1" applyFont="1" applyFill="1"/>
    <xf numFmtId="3" fontId="8" fillId="4" borderId="0" xfId="2" applyNumberFormat="1" applyFont="1" applyFill="1"/>
    <xf numFmtId="0" fontId="7" fillId="2" borderId="0" xfId="1" applyFont="1"/>
    <xf numFmtId="3" fontId="3" fillId="4" borderId="0" xfId="0" applyNumberFormat="1" applyFont="1" applyFill="1"/>
    <xf numFmtId="0" fontId="0" fillId="0" borderId="2" xfId="0" applyBorder="1" applyAlignment="1">
      <alignment horizontal="centerContinuous"/>
    </xf>
    <xf numFmtId="0" fontId="0" fillId="0" borderId="1" xfId="0" applyBorder="1"/>
    <xf numFmtId="165" fontId="3" fillId="0" borderId="0" xfId="3" applyNumberFormat="1" applyFont="1" applyAlignment="1">
      <alignment horizontal="center"/>
    </xf>
  </cellXfs>
  <cellStyles count="5">
    <cellStyle name="Comma" xfId="4" builtinId="3"/>
    <cellStyle name="Good" xfId="1" builtinId="26"/>
    <cellStyle name="Neutral" xfId="2" builtinId="2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6D960-D6C7-4CB9-A7F0-6C2F2DF8BC0B}">
  <dimension ref="A1:AA74"/>
  <sheetViews>
    <sheetView tabSelected="1" zoomScale="80" zoomScaleNormal="8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11.42578125" style="6" customWidth="1"/>
    <col min="2" max="2" width="13.140625" style="6" customWidth="1"/>
    <col min="3" max="3" width="13" style="6" customWidth="1"/>
    <col min="4" max="4" width="13.140625" style="6" customWidth="1"/>
    <col min="5" max="5" width="8.85546875" style="6" bestFit="1" customWidth="1"/>
    <col min="6" max="6" width="12.140625" style="6" customWidth="1"/>
    <col min="7" max="7" width="9.42578125" style="6" bestFit="1" customWidth="1"/>
    <col min="8" max="8" width="8.85546875" style="6" bestFit="1" customWidth="1"/>
    <col min="9" max="9" width="11.85546875" style="6" customWidth="1"/>
    <col min="10" max="10" width="9.42578125" style="6" bestFit="1" customWidth="1"/>
    <col min="11" max="12" width="8.85546875" style="6" bestFit="1" customWidth="1"/>
    <col min="13" max="13" width="14.42578125" style="6" customWidth="1"/>
    <col min="14" max="16" width="8.85546875" style="6" bestFit="1" customWidth="1"/>
    <col min="17" max="17" width="13.85546875" style="6" customWidth="1"/>
    <col min="18" max="18" width="13.42578125" style="6" customWidth="1"/>
    <col min="19" max="19" width="10.7109375" style="6" customWidth="1"/>
    <col min="20" max="20" width="8.85546875" style="6" bestFit="1" customWidth="1"/>
    <col min="21" max="21" width="12" customWidth="1"/>
    <col min="28" max="16384" width="8.7109375" style="6"/>
  </cols>
  <sheetData>
    <row r="1" spans="1:20" ht="15.75" thickBot="1" x14ac:dyDescent="0.3">
      <c r="A1" s="6" t="s">
        <v>8</v>
      </c>
    </row>
    <row r="2" spans="1:20" x14ac:dyDescent="0.25">
      <c r="C2" s="18"/>
      <c r="D2" s="18"/>
      <c r="E2" s="18"/>
      <c r="F2" s="18" t="s">
        <v>7</v>
      </c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20" ht="15.75" thickBot="1" x14ac:dyDescent="0.3">
      <c r="A3" s="4" t="s">
        <v>1</v>
      </c>
      <c r="B3" s="5" t="s">
        <v>0</v>
      </c>
      <c r="C3" s="19">
        <v>0.2</v>
      </c>
      <c r="D3" s="19">
        <v>1.1000000000000001</v>
      </c>
      <c r="E3" s="19">
        <v>0.3</v>
      </c>
      <c r="F3" s="19">
        <v>1.2</v>
      </c>
      <c r="G3" s="19">
        <v>2.1</v>
      </c>
      <c r="H3" s="19">
        <v>0.4</v>
      </c>
      <c r="I3" s="19">
        <v>1.3</v>
      </c>
      <c r="J3" s="19">
        <v>2.2000000000000002</v>
      </c>
      <c r="K3" s="19">
        <v>3.1</v>
      </c>
      <c r="L3" s="19">
        <v>1.4</v>
      </c>
      <c r="M3" s="19">
        <v>2.2999999999999998</v>
      </c>
      <c r="N3" s="19">
        <v>3.2</v>
      </c>
      <c r="O3" s="19">
        <v>2.4</v>
      </c>
      <c r="P3" s="19">
        <v>3.3</v>
      </c>
      <c r="Q3" s="1" t="s">
        <v>2</v>
      </c>
      <c r="R3" s="5" t="s">
        <v>3</v>
      </c>
      <c r="S3" s="2" t="s">
        <v>4</v>
      </c>
      <c r="T3" s="1" t="s">
        <v>5</v>
      </c>
    </row>
    <row r="4" spans="1:20" x14ac:dyDescent="0.25">
      <c r="A4" s="7">
        <v>1968</v>
      </c>
      <c r="B4" s="8">
        <v>115545</v>
      </c>
      <c r="C4" s="9">
        <v>0</v>
      </c>
      <c r="D4" s="9">
        <v>0</v>
      </c>
      <c r="E4" s="9">
        <v>0</v>
      </c>
      <c r="F4" s="9">
        <v>169641</v>
      </c>
      <c r="G4" s="9">
        <v>894</v>
      </c>
      <c r="H4" s="9">
        <v>0</v>
      </c>
      <c r="I4" s="9">
        <v>657176</v>
      </c>
      <c r="J4" s="9">
        <v>77265</v>
      </c>
      <c r="K4" s="9">
        <v>0</v>
      </c>
      <c r="L4" s="9">
        <v>1456</v>
      </c>
      <c r="M4" s="9">
        <v>53737</v>
      </c>
      <c r="N4" s="9">
        <v>0</v>
      </c>
      <c r="O4" s="9">
        <v>0</v>
      </c>
      <c r="P4" s="9">
        <v>0</v>
      </c>
      <c r="Q4" s="9"/>
      <c r="R4" s="9">
        <f>SUM(C4:P4)</f>
        <v>960169</v>
      </c>
      <c r="S4" s="3">
        <f>R4-B4</f>
        <v>844624</v>
      </c>
      <c r="T4" s="10">
        <f>R4/B4</f>
        <v>8.3099138863646207</v>
      </c>
    </row>
    <row r="5" spans="1:20" x14ac:dyDescent="0.25">
      <c r="A5" s="7">
        <v>1969</v>
      </c>
      <c r="B5" s="9">
        <v>72901.100000000006</v>
      </c>
      <c r="C5" s="9">
        <v>0</v>
      </c>
      <c r="D5" s="9">
        <v>894</v>
      </c>
      <c r="E5" s="9">
        <v>0</v>
      </c>
      <c r="F5" s="9">
        <v>37929</v>
      </c>
      <c r="G5" s="9">
        <v>7740</v>
      </c>
      <c r="H5" s="9">
        <v>0</v>
      </c>
      <c r="I5" s="9">
        <v>209347</v>
      </c>
      <c r="J5" s="9">
        <v>94190</v>
      </c>
      <c r="K5" s="9">
        <v>0</v>
      </c>
      <c r="L5" s="9">
        <v>10719</v>
      </c>
      <c r="M5" s="9">
        <v>66771</v>
      </c>
      <c r="N5" s="9">
        <v>3356</v>
      </c>
      <c r="O5" s="9">
        <v>0</v>
      </c>
      <c r="P5" s="9">
        <v>0</v>
      </c>
      <c r="Q5" s="9"/>
      <c r="R5" s="9">
        <f t="shared" ref="R5:R34" si="0">SUM(C5:P5)</f>
        <v>430946</v>
      </c>
      <c r="S5" s="3">
        <f t="shared" ref="S5:S53" si="1">R5-B5</f>
        <v>358044.9</v>
      </c>
      <c r="T5" s="10">
        <f t="shared" ref="T5:T55" si="2">R5/B5</f>
        <v>5.9113785663042115</v>
      </c>
    </row>
    <row r="6" spans="1:20" x14ac:dyDescent="0.25">
      <c r="A6" s="7">
        <v>1970</v>
      </c>
      <c r="B6" s="9">
        <v>101794.4</v>
      </c>
      <c r="C6" s="9">
        <v>0</v>
      </c>
      <c r="D6" s="9">
        <v>1548</v>
      </c>
      <c r="E6" s="9">
        <v>0</v>
      </c>
      <c r="F6" s="9">
        <v>65999</v>
      </c>
      <c r="G6" s="9">
        <v>6143</v>
      </c>
      <c r="H6" s="9">
        <v>0</v>
      </c>
      <c r="I6" s="9">
        <v>195322</v>
      </c>
      <c r="J6" s="9">
        <v>136422</v>
      </c>
      <c r="K6" s="9">
        <v>0</v>
      </c>
      <c r="L6" s="9">
        <v>0</v>
      </c>
      <c r="M6" s="9">
        <v>136620</v>
      </c>
      <c r="N6" s="9">
        <v>8869</v>
      </c>
      <c r="O6" s="9">
        <v>0</v>
      </c>
      <c r="P6" s="9">
        <v>0</v>
      </c>
      <c r="Q6" s="9"/>
      <c r="R6" s="9">
        <f t="shared" si="0"/>
        <v>550923</v>
      </c>
      <c r="S6" s="3">
        <f t="shared" si="1"/>
        <v>449128.6</v>
      </c>
      <c r="T6" s="10">
        <f t="shared" si="2"/>
        <v>5.4121150082912228</v>
      </c>
    </row>
    <row r="7" spans="1:20" x14ac:dyDescent="0.25">
      <c r="A7" s="7">
        <v>1971</v>
      </c>
      <c r="B7" s="9">
        <v>406713.62</v>
      </c>
      <c r="C7" s="9">
        <v>0</v>
      </c>
      <c r="D7" s="9">
        <v>4472</v>
      </c>
      <c r="E7" s="9">
        <v>0</v>
      </c>
      <c r="F7" s="9">
        <v>57003</v>
      </c>
      <c r="G7" s="9">
        <v>10019</v>
      </c>
      <c r="H7" s="9">
        <v>0</v>
      </c>
      <c r="I7" s="9">
        <v>338382</v>
      </c>
      <c r="J7" s="9">
        <v>299954</v>
      </c>
      <c r="K7" s="9">
        <v>0</v>
      </c>
      <c r="L7" s="9">
        <v>10340</v>
      </c>
      <c r="M7" s="9">
        <v>266227</v>
      </c>
      <c r="N7" s="9">
        <v>0</v>
      </c>
      <c r="O7" s="9">
        <v>0</v>
      </c>
      <c r="P7" s="9">
        <v>0</v>
      </c>
      <c r="Q7" s="9"/>
      <c r="R7" s="9">
        <f t="shared" si="0"/>
        <v>986397</v>
      </c>
      <c r="S7" s="3">
        <f t="shared" si="1"/>
        <v>579683.38</v>
      </c>
      <c r="T7" s="10">
        <f t="shared" si="2"/>
        <v>2.4252863722636091</v>
      </c>
    </row>
    <row r="8" spans="1:20" x14ac:dyDescent="0.25">
      <c r="A8" s="7">
        <v>1972</v>
      </c>
      <c r="B8" s="9">
        <v>431058</v>
      </c>
      <c r="C8" s="9">
        <v>0</v>
      </c>
      <c r="D8" s="9">
        <v>5738</v>
      </c>
      <c r="E8" s="9">
        <v>0</v>
      </c>
      <c r="F8" s="9">
        <v>564078</v>
      </c>
      <c r="G8" s="9">
        <v>17738</v>
      </c>
      <c r="H8" s="9">
        <v>0</v>
      </c>
      <c r="I8" s="9">
        <v>1656310</v>
      </c>
      <c r="J8" s="9">
        <v>182117</v>
      </c>
      <c r="K8" s="9">
        <v>0</v>
      </c>
      <c r="L8" s="9">
        <v>1140</v>
      </c>
      <c r="M8" s="9">
        <v>120729</v>
      </c>
      <c r="N8" s="9">
        <v>0</v>
      </c>
      <c r="O8" s="9">
        <v>0</v>
      </c>
      <c r="P8" s="9">
        <v>0</v>
      </c>
      <c r="Q8" s="9"/>
      <c r="R8" s="9">
        <f t="shared" si="0"/>
        <v>2547850</v>
      </c>
      <c r="S8" s="3">
        <f t="shared" si="1"/>
        <v>2116792</v>
      </c>
      <c r="T8" s="10">
        <f t="shared" si="2"/>
        <v>5.9106895127801824</v>
      </c>
    </row>
    <row r="9" spans="1:20" x14ac:dyDescent="0.25">
      <c r="A9" s="7">
        <v>1973</v>
      </c>
      <c r="B9" s="9">
        <v>507072</v>
      </c>
      <c r="C9" s="9">
        <v>0</v>
      </c>
      <c r="D9" s="9">
        <v>8966</v>
      </c>
      <c r="E9" s="9">
        <v>0</v>
      </c>
      <c r="F9" s="9">
        <v>153573</v>
      </c>
      <c r="G9" s="9">
        <v>0</v>
      </c>
      <c r="H9" s="9">
        <v>0</v>
      </c>
      <c r="I9" s="9">
        <v>1825724</v>
      </c>
      <c r="J9" s="9">
        <v>87313</v>
      </c>
      <c r="K9" s="9">
        <v>0</v>
      </c>
      <c r="L9" s="9">
        <v>0</v>
      </c>
      <c r="M9" s="9">
        <v>50410</v>
      </c>
      <c r="N9" s="9">
        <v>0</v>
      </c>
      <c r="O9" s="9">
        <v>0</v>
      </c>
      <c r="P9" s="9">
        <v>0</v>
      </c>
      <c r="Q9" s="9"/>
      <c r="R9" s="9">
        <f t="shared" si="0"/>
        <v>2125986</v>
      </c>
      <c r="S9" s="3">
        <f t="shared" si="1"/>
        <v>1618914</v>
      </c>
      <c r="T9" s="10">
        <f t="shared" si="2"/>
        <v>4.1926708633093526</v>
      </c>
    </row>
    <row r="10" spans="1:20" x14ac:dyDescent="0.25">
      <c r="A10" s="7">
        <v>1974</v>
      </c>
      <c r="B10" s="9">
        <v>209836</v>
      </c>
      <c r="C10" s="9">
        <v>0</v>
      </c>
      <c r="D10" s="9">
        <v>0</v>
      </c>
      <c r="E10" s="9">
        <v>0</v>
      </c>
      <c r="F10" s="9">
        <v>59726</v>
      </c>
      <c r="G10" s="9">
        <v>1710</v>
      </c>
      <c r="H10" s="9">
        <v>0</v>
      </c>
      <c r="I10" s="9">
        <v>488947</v>
      </c>
      <c r="J10" s="9">
        <v>94517</v>
      </c>
      <c r="K10" s="9">
        <v>0</v>
      </c>
      <c r="L10" s="9">
        <v>0</v>
      </c>
      <c r="M10" s="9">
        <v>143167</v>
      </c>
      <c r="N10" s="9">
        <v>0</v>
      </c>
      <c r="O10" s="9">
        <v>0</v>
      </c>
      <c r="P10" s="9">
        <v>0</v>
      </c>
      <c r="Q10" s="9">
        <f t="shared" ref="Q10:Q54" si="3">SUM(O3:P3,L4:N4,H5:K5,E6:G6,C7:D7)</f>
        <v>435349.7</v>
      </c>
      <c r="R10" s="9">
        <f t="shared" si="0"/>
        <v>788067</v>
      </c>
      <c r="S10" s="3">
        <f t="shared" si="1"/>
        <v>578231</v>
      </c>
      <c r="T10" s="10">
        <f t="shared" si="2"/>
        <v>3.7556329705103031</v>
      </c>
    </row>
    <row r="11" spans="1:20" x14ac:dyDescent="0.25">
      <c r="A11" s="7">
        <v>1975</v>
      </c>
      <c r="B11" s="9">
        <v>184262</v>
      </c>
      <c r="C11" s="9">
        <v>0</v>
      </c>
      <c r="D11" s="9">
        <v>0</v>
      </c>
      <c r="E11" s="9">
        <v>0</v>
      </c>
      <c r="F11" s="9">
        <v>162573</v>
      </c>
      <c r="G11" s="9">
        <v>0</v>
      </c>
      <c r="H11" s="9">
        <v>0</v>
      </c>
      <c r="I11" s="9">
        <v>623465</v>
      </c>
      <c r="J11" s="9">
        <v>209203</v>
      </c>
      <c r="K11" s="9">
        <v>0</v>
      </c>
      <c r="L11" s="9">
        <v>0</v>
      </c>
      <c r="M11" s="9">
        <v>60134</v>
      </c>
      <c r="N11" s="9">
        <v>0</v>
      </c>
      <c r="O11" s="9">
        <v>0</v>
      </c>
      <c r="P11" s="9">
        <v>0</v>
      </c>
      <c r="Q11" s="9">
        <f t="shared" si="3"/>
        <v>485350</v>
      </c>
      <c r="R11" s="9">
        <f t="shared" si="0"/>
        <v>1055375</v>
      </c>
      <c r="S11" s="3">
        <f t="shared" si="1"/>
        <v>871113</v>
      </c>
      <c r="T11" s="10">
        <f t="shared" si="2"/>
        <v>5.7275781224560678</v>
      </c>
    </row>
    <row r="12" spans="1:20" x14ac:dyDescent="0.25">
      <c r="A12" s="7">
        <v>1976</v>
      </c>
      <c r="B12" s="9">
        <v>507440</v>
      </c>
      <c r="C12" s="9">
        <v>0</v>
      </c>
      <c r="D12" s="9">
        <v>1391</v>
      </c>
      <c r="E12" s="9">
        <v>0</v>
      </c>
      <c r="F12" s="9">
        <v>457669</v>
      </c>
      <c r="G12" s="9">
        <v>6092</v>
      </c>
      <c r="H12" s="9">
        <v>0</v>
      </c>
      <c r="I12" s="9">
        <v>804077</v>
      </c>
      <c r="J12" s="9">
        <v>95057</v>
      </c>
      <c r="K12" s="9">
        <v>1142</v>
      </c>
      <c r="L12" s="9">
        <v>2930</v>
      </c>
      <c r="M12" s="9">
        <v>136830</v>
      </c>
      <c r="N12" s="9">
        <v>0</v>
      </c>
      <c r="O12" s="9">
        <v>888</v>
      </c>
      <c r="P12" s="9">
        <v>0</v>
      </c>
      <c r="Q12" s="9">
        <f t="shared" si="3"/>
        <v>1374607</v>
      </c>
      <c r="R12" s="9">
        <f t="shared" si="0"/>
        <v>1506076</v>
      </c>
      <c r="S12" s="3">
        <f t="shared" si="1"/>
        <v>998636</v>
      </c>
      <c r="T12" s="10">
        <f t="shared" si="2"/>
        <v>2.9679883335960904</v>
      </c>
    </row>
    <row r="13" spans="1:20" x14ac:dyDescent="0.25">
      <c r="A13" s="7">
        <v>1977</v>
      </c>
      <c r="B13" s="9">
        <v>951038</v>
      </c>
      <c r="C13" s="9">
        <v>0</v>
      </c>
      <c r="D13" s="9">
        <v>41798</v>
      </c>
      <c r="E13" s="9">
        <v>0</v>
      </c>
      <c r="F13" s="9">
        <v>212814</v>
      </c>
      <c r="G13" s="9">
        <v>3251</v>
      </c>
      <c r="H13" s="9">
        <v>0</v>
      </c>
      <c r="I13" s="9">
        <v>2421422</v>
      </c>
      <c r="J13" s="9">
        <v>67322</v>
      </c>
      <c r="K13" s="9">
        <v>0</v>
      </c>
      <c r="L13" s="9">
        <v>18530</v>
      </c>
      <c r="M13" s="9">
        <v>347108</v>
      </c>
      <c r="N13" s="9">
        <v>0</v>
      </c>
      <c r="O13" s="9">
        <v>0</v>
      </c>
      <c r="P13" s="9">
        <v>607</v>
      </c>
      <c r="Q13" s="9">
        <f t="shared" si="3"/>
        <v>2268567</v>
      </c>
      <c r="R13" s="9">
        <f t="shared" si="0"/>
        <v>3112852</v>
      </c>
      <c r="S13" s="3">
        <f t="shared" si="1"/>
        <v>2161814</v>
      </c>
      <c r="T13" s="10">
        <f t="shared" si="2"/>
        <v>3.2731100124285253</v>
      </c>
    </row>
    <row r="14" spans="1:20" x14ac:dyDescent="0.25">
      <c r="A14" s="7">
        <v>1978</v>
      </c>
      <c r="B14" s="9">
        <v>511781</v>
      </c>
      <c r="C14" s="9">
        <v>0</v>
      </c>
      <c r="D14" s="9">
        <v>0</v>
      </c>
      <c r="E14" s="9">
        <v>0</v>
      </c>
      <c r="F14" s="9">
        <v>136855</v>
      </c>
      <c r="G14" s="9">
        <v>0</v>
      </c>
      <c r="H14" s="9">
        <v>0</v>
      </c>
      <c r="I14" s="9">
        <v>3251291</v>
      </c>
      <c r="J14" s="9">
        <v>67268</v>
      </c>
      <c r="K14" s="9">
        <v>0</v>
      </c>
      <c r="L14" s="9">
        <v>38048</v>
      </c>
      <c r="M14" s="9">
        <v>285819</v>
      </c>
      <c r="N14" s="9">
        <v>6343</v>
      </c>
      <c r="O14" s="9">
        <v>0</v>
      </c>
      <c r="P14" s="9">
        <v>0</v>
      </c>
      <c r="Q14" s="9">
        <f t="shared" si="3"/>
        <v>2096342</v>
      </c>
      <c r="R14" s="9">
        <f t="shared" si="0"/>
        <v>3785624</v>
      </c>
      <c r="S14" s="3">
        <f t="shared" si="1"/>
        <v>3273843</v>
      </c>
      <c r="T14" s="10">
        <f t="shared" si="2"/>
        <v>7.3969608094087116</v>
      </c>
    </row>
    <row r="15" spans="1:20" x14ac:dyDescent="0.25">
      <c r="A15" s="7">
        <v>1979</v>
      </c>
      <c r="B15" s="9">
        <v>373810</v>
      </c>
      <c r="C15" s="9">
        <v>0</v>
      </c>
      <c r="D15" s="9">
        <v>1295</v>
      </c>
      <c r="E15" s="9">
        <v>29452</v>
      </c>
      <c r="F15" s="9">
        <v>259220</v>
      </c>
      <c r="G15" s="9">
        <v>4699</v>
      </c>
      <c r="H15" s="9">
        <v>0</v>
      </c>
      <c r="I15" s="9">
        <v>566002</v>
      </c>
      <c r="J15" s="9">
        <v>149740</v>
      </c>
      <c r="K15" s="9">
        <v>0</v>
      </c>
      <c r="L15" s="9">
        <v>11224</v>
      </c>
      <c r="M15" s="9">
        <v>293135</v>
      </c>
      <c r="N15" s="9">
        <v>4813</v>
      </c>
      <c r="O15" s="9">
        <v>2126</v>
      </c>
      <c r="P15" s="9">
        <v>0</v>
      </c>
      <c r="Q15" s="9">
        <f t="shared" si="3"/>
        <v>797838</v>
      </c>
      <c r="R15" s="9">
        <f t="shared" si="0"/>
        <v>1321706</v>
      </c>
      <c r="S15" s="3">
        <f t="shared" si="1"/>
        <v>947896</v>
      </c>
      <c r="T15" s="10">
        <f t="shared" si="2"/>
        <v>3.5357695085738743</v>
      </c>
    </row>
    <row r="16" spans="1:20" x14ac:dyDescent="0.25">
      <c r="A16" s="7">
        <v>1980</v>
      </c>
      <c r="B16" s="9">
        <v>615382</v>
      </c>
      <c r="C16" s="9">
        <v>0</v>
      </c>
      <c r="D16" s="9">
        <v>3655</v>
      </c>
      <c r="E16" s="9">
        <v>18199</v>
      </c>
      <c r="F16" s="9">
        <v>218992</v>
      </c>
      <c r="G16" s="9">
        <v>2614</v>
      </c>
      <c r="H16" s="9">
        <v>691</v>
      </c>
      <c r="I16" s="9">
        <v>1599089</v>
      </c>
      <c r="J16" s="9">
        <v>271732</v>
      </c>
      <c r="K16" s="9">
        <v>0</v>
      </c>
      <c r="L16" s="9">
        <v>14945</v>
      </c>
      <c r="M16" s="9">
        <v>545092</v>
      </c>
      <c r="N16" s="9">
        <v>0</v>
      </c>
      <c r="O16" s="9">
        <v>0</v>
      </c>
      <c r="P16" s="9">
        <v>0</v>
      </c>
      <c r="Q16" s="9">
        <f t="shared" si="3"/>
        <v>1481394</v>
      </c>
      <c r="R16" s="9">
        <f t="shared" si="0"/>
        <v>2675009</v>
      </c>
      <c r="S16" s="3">
        <f t="shared" si="1"/>
        <v>2059627</v>
      </c>
      <c r="T16" s="10">
        <f t="shared" si="2"/>
        <v>4.346908099359422</v>
      </c>
    </row>
    <row r="17" spans="1:20" x14ac:dyDescent="0.25">
      <c r="A17" s="7">
        <v>1981</v>
      </c>
      <c r="B17" s="9">
        <v>535524</v>
      </c>
      <c r="C17" s="9">
        <v>825</v>
      </c>
      <c r="D17" s="9">
        <v>0</v>
      </c>
      <c r="E17" s="9">
        <v>7824</v>
      </c>
      <c r="F17" s="9">
        <v>301607</v>
      </c>
      <c r="G17" s="9">
        <v>2220</v>
      </c>
      <c r="H17" s="9">
        <v>0</v>
      </c>
      <c r="I17" s="9">
        <v>1245372</v>
      </c>
      <c r="J17" s="9">
        <v>295444</v>
      </c>
      <c r="K17" s="9">
        <v>0</v>
      </c>
      <c r="L17" s="9">
        <v>6783</v>
      </c>
      <c r="M17" s="9">
        <v>605745</v>
      </c>
      <c r="N17" s="9">
        <v>0</v>
      </c>
      <c r="O17" s="9">
        <v>0</v>
      </c>
      <c r="P17" s="9">
        <v>0</v>
      </c>
      <c r="Q17" s="9">
        <f t="shared" si="3"/>
        <v>1176475</v>
      </c>
      <c r="R17" s="9">
        <f t="shared" si="0"/>
        <v>2465820</v>
      </c>
      <c r="S17" s="3">
        <f t="shared" si="1"/>
        <v>1930296</v>
      </c>
      <c r="T17" s="10">
        <f t="shared" si="2"/>
        <v>4.6044995182288746</v>
      </c>
    </row>
    <row r="18" spans="1:20" x14ac:dyDescent="0.25">
      <c r="A18" s="7">
        <v>1982</v>
      </c>
      <c r="B18" s="9">
        <v>755672</v>
      </c>
      <c r="C18" s="9">
        <v>4418</v>
      </c>
      <c r="D18" s="9">
        <v>1394</v>
      </c>
      <c r="E18" s="9">
        <v>36636</v>
      </c>
      <c r="F18" s="9">
        <v>804160</v>
      </c>
      <c r="G18" s="9">
        <v>1950</v>
      </c>
      <c r="H18" s="9">
        <v>2978</v>
      </c>
      <c r="I18" s="9">
        <v>7663538</v>
      </c>
      <c r="J18" s="9">
        <v>298241</v>
      </c>
      <c r="K18" s="9">
        <v>0</v>
      </c>
      <c r="L18" s="9">
        <v>23317</v>
      </c>
      <c r="M18" s="9">
        <v>745085</v>
      </c>
      <c r="N18" s="9">
        <v>0</v>
      </c>
      <c r="O18" s="9">
        <v>9482</v>
      </c>
      <c r="P18" s="9">
        <v>0</v>
      </c>
      <c r="Q18" s="9">
        <f t="shared" si="3"/>
        <v>2766654</v>
      </c>
      <c r="R18" s="9">
        <f t="shared" si="0"/>
        <v>9591199</v>
      </c>
      <c r="S18" s="3">
        <f t="shared" si="1"/>
        <v>8835527</v>
      </c>
      <c r="T18" s="10">
        <f t="shared" si="2"/>
        <v>12.69227786658762</v>
      </c>
    </row>
    <row r="19" spans="1:20" x14ac:dyDescent="0.25">
      <c r="A19" s="7">
        <v>1983</v>
      </c>
      <c r="B19" s="9">
        <v>792765</v>
      </c>
      <c r="C19" s="9">
        <v>1216</v>
      </c>
      <c r="D19" s="9">
        <v>0</v>
      </c>
      <c r="E19" s="9">
        <v>22901</v>
      </c>
      <c r="F19" s="9">
        <v>796367</v>
      </c>
      <c r="G19" s="9">
        <v>0</v>
      </c>
      <c r="H19" s="9">
        <v>0</v>
      </c>
      <c r="I19" s="9">
        <v>4465792</v>
      </c>
      <c r="J19" s="9">
        <v>262937</v>
      </c>
      <c r="K19" s="9">
        <v>0</v>
      </c>
      <c r="L19" s="9">
        <v>49750</v>
      </c>
      <c r="M19" s="9">
        <v>3879711</v>
      </c>
      <c r="N19" s="9">
        <v>0</v>
      </c>
      <c r="O19" s="9">
        <v>10975</v>
      </c>
      <c r="P19" s="9">
        <v>0</v>
      </c>
      <c r="Q19" s="9">
        <f t="shared" si="3"/>
        <v>3982111</v>
      </c>
      <c r="R19" s="9">
        <f t="shared" si="0"/>
        <v>9489649</v>
      </c>
      <c r="S19" s="3">
        <f t="shared" si="1"/>
        <v>8696884</v>
      </c>
      <c r="T19" s="10">
        <f t="shared" si="2"/>
        <v>11.970317811709648</v>
      </c>
    </row>
    <row r="20" spans="1:20" x14ac:dyDescent="0.25">
      <c r="A20" s="7">
        <v>1984</v>
      </c>
      <c r="B20" s="9">
        <v>446397</v>
      </c>
      <c r="C20" s="9">
        <v>0</v>
      </c>
      <c r="D20" s="9">
        <v>0</v>
      </c>
      <c r="E20" s="9">
        <v>2383</v>
      </c>
      <c r="F20" s="9">
        <v>547677</v>
      </c>
      <c r="G20" s="9">
        <v>4518</v>
      </c>
      <c r="H20" s="9">
        <v>0</v>
      </c>
      <c r="I20" s="9">
        <v>1664505</v>
      </c>
      <c r="J20" s="9">
        <v>704461</v>
      </c>
      <c r="K20" s="9">
        <v>7674</v>
      </c>
      <c r="L20" s="9">
        <v>19966</v>
      </c>
      <c r="M20" s="9">
        <v>907035</v>
      </c>
      <c r="N20" s="9">
        <v>6302</v>
      </c>
      <c r="O20" s="9">
        <v>613</v>
      </c>
      <c r="P20" s="9">
        <v>0</v>
      </c>
      <c r="Q20" s="9">
        <f t="shared" si="3"/>
        <v>1287189</v>
      </c>
      <c r="R20" s="9">
        <f t="shared" si="0"/>
        <v>3865134</v>
      </c>
      <c r="S20" s="3">
        <f t="shared" si="1"/>
        <v>3418737</v>
      </c>
      <c r="T20" s="10">
        <f t="shared" si="2"/>
        <v>8.658512490003293</v>
      </c>
    </row>
    <row r="21" spans="1:20" x14ac:dyDescent="0.25">
      <c r="A21" s="7">
        <v>1985</v>
      </c>
      <c r="B21" s="9">
        <v>573836</v>
      </c>
      <c r="C21" s="9">
        <v>0</v>
      </c>
      <c r="D21" s="9">
        <v>4130</v>
      </c>
      <c r="E21" s="9">
        <v>4862</v>
      </c>
      <c r="F21" s="9">
        <v>314942</v>
      </c>
      <c r="G21" s="9">
        <v>20065</v>
      </c>
      <c r="H21" s="9">
        <v>0</v>
      </c>
      <c r="I21" s="9">
        <v>1570509</v>
      </c>
      <c r="J21" s="9">
        <v>298317</v>
      </c>
      <c r="K21" s="9">
        <v>0</v>
      </c>
      <c r="L21" s="9">
        <v>4884</v>
      </c>
      <c r="M21" s="9">
        <v>374574</v>
      </c>
      <c r="N21" s="9">
        <v>685</v>
      </c>
      <c r="O21" s="9">
        <v>0</v>
      </c>
      <c r="P21" s="9">
        <v>0</v>
      </c>
      <c r="Q21" s="9">
        <f t="shared" si="3"/>
        <v>2498147</v>
      </c>
      <c r="R21" s="9">
        <f t="shared" si="0"/>
        <v>2592968</v>
      </c>
      <c r="S21" s="3">
        <f t="shared" si="1"/>
        <v>2019132</v>
      </c>
      <c r="T21" s="10">
        <f t="shared" si="2"/>
        <v>4.5186568984866753</v>
      </c>
    </row>
    <row r="22" spans="1:20" x14ac:dyDescent="0.25">
      <c r="A22" s="7">
        <v>1986</v>
      </c>
      <c r="B22" s="9">
        <v>555207</v>
      </c>
      <c r="C22" s="9">
        <v>1727</v>
      </c>
      <c r="D22" s="9">
        <v>4959</v>
      </c>
      <c r="E22" s="9">
        <v>15706</v>
      </c>
      <c r="F22" s="9">
        <v>391092</v>
      </c>
      <c r="G22" s="9">
        <v>3222</v>
      </c>
      <c r="H22" s="9">
        <v>2048</v>
      </c>
      <c r="I22" s="9">
        <v>840180</v>
      </c>
      <c r="J22" s="9">
        <v>141266</v>
      </c>
      <c r="K22" s="9">
        <v>0</v>
      </c>
      <c r="L22" s="9">
        <v>11419</v>
      </c>
      <c r="M22" s="9">
        <v>755024</v>
      </c>
      <c r="N22" s="9">
        <v>0</v>
      </c>
      <c r="O22" s="9">
        <v>8199</v>
      </c>
      <c r="P22" s="9">
        <v>0</v>
      </c>
      <c r="Q22" s="9">
        <f t="shared" si="3"/>
        <v>2946941</v>
      </c>
      <c r="R22" s="9">
        <f t="shared" si="0"/>
        <v>2174842</v>
      </c>
      <c r="S22" s="3">
        <f t="shared" si="1"/>
        <v>1619635</v>
      </c>
      <c r="T22" s="10">
        <f t="shared" si="2"/>
        <v>3.9171732344873171</v>
      </c>
    </row>
    <row r="23" spans="1:20" x14ac:dyDescent="0.25">
      <c r="A23" s="7">
        <v>1987</v>
      </c>
      <c r="B23" s="9">
        <v>2011772</v>
      </c>
      <c r="C23" s="9">
        <v>0</v>
      </c>
      <c r="D23" s="9">
        <v>5664</v>
      </c>
      <c r="E23" s="9">
        <v>48870</v>
      </c>
      <c r="F23" s="9">
        <v>776685</v>
      </c>
      <c r="G23" s="9">
        <v>4549</v>
      </c>
      <c r="H23" s="9">
        <v>0</v>
      </c>
      <c r="I23" s="9">
        <v>7024019</v>
      </c>
      <c r="J23" s="9">
        <v>301848</v>
      </c>
      <c r="K23" s="9">
        <v>0</v>
      </c>
      <c r="L23" s="9">
        <v>105399</v>
      </c>
      <c r="M23" s="9">
        <v>2096053</v>
      </c>
      <c r="N23" s="9">
        <v>1114</v>
      </c>
      <c r="O23" s="9">
        <v>14372</v>
      </c>
      <c r="P23" s="9">
        <v>0</v>
      </c>
      <c r="Q23" s="9">
        <f t="shared" si="3"/>
        <v>9396553</v>
      </c>
      <c r="R23" s="9">
        <f t="shared" si="0"/>
        <v>10378573</v>
      </c>
      <c r="S23" s="3">
        <f t="shared" si="1"/>
        <v>8366801</v>
      </c>
      <c r="T23" s="10">
        <f t="shared" si="2"/>
        <v>5.1589210904615435</v>
      </c>
    </row>
    <row r="24" spans="1:20" x14ac:dyDescent="0.25">
      <c r="A24" s="7">
        <v>1988</v>
      </c>
      <c r="B24" s="9">
        <v>1213047</v>
      </c>
      <c r="C24" s="9">
        <v>408</v>
      </c>
      <c r="D24" s="9">
        <v>1156</v>
      </c>
      <c r="E24" s="9">
        <v>0</v>
      </c>
      <c r="F24" s="9">
        <v>151779</v>
      </c>
      <c r="G24" s="9">
        <v>7105</v>
      </c>
      <c r="H24" s="9">
        <v>0</v>
      </c>
      <c r="I24" s="9">
        <v>1491124</v>
      </c>
      <c r="J24" s="9">
        <v>292377</v>
      </c>
      <c r="K24" s="9">
        <v>596</v>
      </c>
      <c r="L24" s="9">
        <v>21963</v>
      </c>
      <c r="M24" s="9">
        <v>576976</v>
      </c>
      <c r="N24" s="9">
        <v>2873</v>
      </c>
      <c r="O24" s="9">
        <v>4586</v>
      </c>
      <c r="P24" s="9">
        <v>0</v>
      </c>
      <c r="Q24" s="9">
        <f t="shared" si="3"/>
        <v>6055839</v>
      </c>
      <c r="R24" s="9">
        <f t="shared" si="0"/>
        <v>2550943</v>
      </c>
      <c r="S24" s="3">
        <f t="shared" si="1"/>
        <v>1337896</v>
      </c>
      <c r="T24" s="10">
        <f t="shared" si="2"/>
        <v>2.1029218158900687</v>
      </c>
    </row>
    <row r="25" spans="1:20" x14ac:dyDescent="0.25">
      <c r="A25" s="7">
        <v>1989</v>
      </c>
      <c r="B25" s="9">
        <v>2026638</v>
      </c>
      <c r="C25" s="9">
        <v>3927</v>
      </c>
      <c r="D25" s="9">
        <v>0</v>
      </c>
      <c r="E25" s="9">
        <v>16803</v>
      </c>
      <c r="F25" s="9">
        <v>352264</v>
      </c>
      <c r="G25" s="9">
        <v>77802</v>
      </c>
      <c r="H25" s="9">
        <v>0</v>
      </c>
      <c r="I25" s="9">
        <v>2480626</v>
      </c>
      <c r="J25" s="9">
        <v>558602</v>
      </c>
      <c r="K25" s="9">
        <v>1416</v>
      </c>
      <c r="L25" s="9">
        <v>17311</v>
      </c>
      <c r="M25" s="9">
        <v>955698</v>
      </c>
      <c r="N25" s="9">
        <v>0</v>
      </c>
      <c r="O25" s="9">
        <v>16440</v>
      </c>
      <c r="P25" s="9">
        <v>0</v>
      </c>
      <c r="Q25" s="9">
        <f t="shared" si="3"/>
        <v>6662138</v>
      </c>
      <c r="R25" s="9">
        <f t="shared" si="0"/>
        <v>4480889</v>
      </c>
      <c r="S25" s="3">
        <f t="shared" si="1"/>
        <v>2454251</v>
      </c>
      <c r="T25" s="10">
        <f t="shared" si="2"/>
        <v>2.2109962410652519</v>
      </c>
    </row>
    <row r="26" spans="1:20" x14ac:dyDescent="0.25">
      <c r="A26" s="7">
        <v>1990</v>
      </c>
      <c r="B26" s="9">
        <v>794753</v>
      </c>
      <c r="C26" s="9">
        <v>1133</v>
      </c>
      <c r="D26" s="9">
        <v>3457</v>
      </c>
      <c r="E26" s="9">
        <v>5947</v>
      </c>
      <c r="F26" s="9">
        <v>223830</v>
      </c>
      <c r="G26" s="9">
        <v>13944</v>
      </c>
      <c r="H26" s="9">
        <v>0</v>
      </c>
      <c r="I26" s="9">
        <v>778479</v>
      </c>
      <c r="J26" s="9">
        <v>191364</v>
      </c>
      <c r="K26" s="9">
        <v>0</v>
      </c>
      <c r="L26" s="9">
        <v>10973</v>
      </c>
      <c r="M26" s="9">
        <v>284029</v>
      </c>
      <c r="N26" s="9">
        <v>2423</v>
      </c>
      <c r="O26" s="9">
        <v>3405</v>
      </c>
      <c r="P26" s="9">
        <v>0</v>
      </c>
      <c r="Q26" s="9">
        <f t="shared" si="3"/>
        <v>3228788</v>
      </c>
      <c r="R26" s="9">
        <f t="shared" si="0"/>
        <v>1518984</v>
      </c>
      <c r="S26" s="3">
        <f t="shared" si="1"/>
        <v>724231</v>
      </c>
      <c r="T26" s="10">
        <f t="shared" si="2"/>
        <v>1.9112655126812985</v>
      </c>
    </row>
    <row r="27" spans="1:20" x14ac:dyDescent="0.25">
      <c r="A27" s="7">
        <v>1991</v>
      </c>
      <c r="B27" s="9">
        <v>727159</v>
      </c>
      <c r="C27" s="9">
        <v>1602</v>
      </c>
      <c r="D27" s="9">
        <v>4371</v>
      </c>
      <c r="E27" s="9">
        <v>10371</v>
      </c>
      <c r="F27" s="9">
        <v>669963</v>
      </c>
      <c r="G27" s="9">
        <v>22972</v>
      </c>
      <c r="H27" s="9">
        <v>0</v>
      </c>
      <c r="I27" s="9">
        <v>2764755</v>
      </c>
      <c r="J27" s="9">
        <v>252038</v>
      </c>
      <c r="K27" s="9">
        <v>1839</v>
      </c>
      <c r="L27" s="9">
        <v>17583</v>
      </c>
      <c r="M27" s="9">
        <v>690122</v>
      </c>
      <c r="N27" s="9">
        <v>2928</v>
      </c>
      <c r="O27" s="9">
        <v>2958</v>
      </c>
      <c r="P27" s="9">
        <v>3030</v>
      </c>
      <c r="Q27" s="9">
        <f t="shared" si="3"/>
        <v>2195918</v>
      </c>
      <c r="R27" s="9">
        <f t="shared" si="0"/>
        <v>4444532</v>
      </c>
      <c r="S27" s="3">
        <f t="shared" si="1"/>
        <v>3717373</v>
      </c>
      <c r="T27" s="10">
        <f t="shared" si="2"/>
        <v>6.1121872932879882</v>
      </c>
    </row>
    <row r="28" spans="1:20" x14ac:dyDescent="0.25">
      <c r="A28" s="7">
        <v>1992</v>
      </c>
      <c r="B28" s="9">
        <v>1207382</v>
      </c>
      <c r="C28" s="9">
        <v>0</v>
      </c>
      <c r="D28" s="9">
        <v>2651</v>
      </c>
      <c r="E28" s="9">
        <v>8468</v>
      </c>
      <c r="F28" s="9">
        <v>345482</v>
      </c>
      <c r="G28" s="9">
        <v>10423</v>
      </c>
      <c r="H28" s="9">
        <v>0</v>
      </c>
      <c r="I28" s="9">
        <v>3443710</v>
      </c>
      <c r="J28" s="9">
        <v>140781</v>
      </c>
      <c r="K28" s="9">
        <v>0</v>
      </c>
      <c r="L28" s="9">
        <v>19993</v>
      </c>
      <c r="M28" s="9">
        <v>293962</v>
      </c>
      <c r="N28" s="9">
        <v>2775</v>
      </c>
      <c r="O28" s="9">
        <v>4497</v>
      </c>
      <c r="P28" s="9">
        <v>0</v>
      </c>
      <c r="Q28" s="9">
        <f t="shared" si="3"/>
        <v>8255121</v>
      </c>
      <c r="R28" s="9">
        <f t="shared" si="0"/>
        <v>4272742</v>
      </c>
      <c r="S28" s="3">
        <f t="shared" si="1"/>
        <v>3065360</v>
      </c>
      <c r="T28" s="10">
        <f t="shared" si="2"/>
        <v>3.5388485168736987</v>
      </c>
    </row>
    <row r="29" spans="1:20" x14ac:dyDescent="0.25">
      <c r="A29" s="7">
        <v>1993</v>
      </c>
      <c r="B29" s="9">
        <v>997730</v>
      </c>
      <c r="C29" s="9">
        <v>0</v>
      </c>
      <c r="D29" s="9">
        <v>0</v>
      </c>
      <c r="E29" s="9">
        <v>14950</v>
      </c>
      <c r="F29" s="9">
        <v>289049</v>
      </c>
      <c r="G29" s="9">
        <v>7055</v>
      </c>
      <c r="H29" s="9">
        <v>0</v>
      </c>
      <c r="I29" s="9">
        <v>816428</v>
      </c>
      <c r="J29" s="9">
        <v>196881</v>
      </c>
      <c r="K29" s="9">
        <v>1642</v>
      </c>
      <c r="L29" s="9">
        <v>12463</v>
      </c>
      <c r="M29" s="9">
        <v>330626</v>
      </c>
      <c r="N29" s="9">
        <v>14864</v>
      </c>
      <c r="O29" s="9">
        <v>6306</v>
      </c>
      <c r="P29" s="9">
        <v>0</v>
      </c>
      <c r="Q29" s="9">
        <f t="shared" si="3"/>
        <v>4446321</v>
      </c>
      <c r="R29" s="9">
        <f t="shared" si="0"/>
        <v>1690264</v>
      </c>
      <c r="S29" s="3">
        <f t="shared" si="1"/>
        <v>692534</v>
      </c>
      <c r="T29" s="10">
        <f t="shared" si="2"/>
        <v>1.6941096288575066</v>
      </c>
    </row>
    <row r="30" spans="1:20" x14ac:dyDescent="0.25">
      <c r="A30" s="7">
        <v>1994</v>
      </c>
      <c r="B30" s="9">
        <v>1309695</v>
      </c>
      <c r="C30" s="9">
        <v>0</v>
      </c>
      <c r="D30" s="9">
        <v>1762</v>
      </c>
      <c r="E30" s="9">
        <v>0</v>
      </c>
      <c r="F30" s="9">
        <v>484193</v>
      </c>
      <c r="G30" s="9">
        <v>77318</v>
      </c>
      <c r="H30" s="9">
        <v>0</v>
      </c>
      <c r="I30" s="9">
        <v>1727679</v>
      </c>
      <c r="J30" s="9">
        <v>439434</v>
      </c>
      <c r="K30" s="9">
        <v>1822</v>
      </c>
      <c r="L30" s="9">
        <v>17644</v>
      </c>
      <c r="M30" s="9">
        <v>291755</v>
      </c>
      <c r="N30" s="9">
        <v>9532</v>
      </c>
      <c r="O30" s="9">
        <v>0</v>
      </c>
      <c r="P30" s="9">
        <v>2322</v>
      </c>
      <c r="Q30" s="9">
        <f t="shared" si="3"/>
        <v>3906522</v>
      </c>
      <c r="R30" s="9">
        <f t="shared" si="0"/>
        <v>3053461</v>
      </c>
      <c r="S30" s="3">
        <f t="shared" si="1"/>
        <v>1743766</v>
      </c>
      <c r="T30" s="10">
        <f t="shared" si="2"/>
        <v>2.3314290731811607</v>
      </c>
    </row>
    <row r="31" spans="1:20" x14ac:dyDescent="0.25">
      <c r="A31" s="7">
        <v>1995</v>
      </c>
      <c r="B31" s="9">
        <v>776881</v>
      </c>
      <c r="C31" s="9">
        <v>0</v>
      </c>
      <c r="D31" s="9">
        <v>3402</v>
      </c>
      <c r="E31" s="9">
        <v>8637</v>
      </c>
      <c r="F31" s="9">
        <v>429237</v>
      </c>
      <c r="G31" s="9">
        <v>16262</v>
      </c>
      <c r="H31" s="9">
        <v>0</v>
      </c>
      <c r="I31" s="9">
        <v>1039520</v>
      </c>
      <c r="J31" s="9">
        <v>154550</v>
      </c>
      <c r="K31" s="9">
        <v>0</v>
      </c>
      <c r="L31" s="9">
        <v>15062</v>
      </c>
      <c r="M31" s="9">
        <v>230962</v>
      </c>
      <c r="N31" s="9">
        <v>0</v>
      </c>
      <c r="O31" s="9">
        <v>2266</v>
      </c>
      <c r="P31" s="9">
        <v>610</v>
      </c>
      <c r="Q31" s="9">
        <f t="shared" si="3"/>
        <v>2653395</v>
      </c>
      <c r="R31" s="9">
        <f t="shared" si="0"/>
        <v>1900508</v>
      </c>
      <c r="S31" s="3">
        <f t="shared" si="1"/>
        <v>1123627</v>
      </c>
      <c r="T31" s="11">
        <f t="shared" si="2"/>
        <v>2.4463309052480366</v>
      </c>
    </row>
    <row r="32" spans="1:20" x14ac:dyDescent="0.25">
      <c r="A32" s="7">
        <v>1996</v>
      </c>
      <c r="B32" s="9">
        <v>963125</v>
      </c>
      <c r="C32" s="9">
        <v>0</v>
      </c>
      <c r="D32" s="9">
        <v>0</v>
      </c>
      <c r="E32" s="9">
        <v>13177</v>
      </c>
      <c r="F32" s="9">
        <v>254848</v>
      </c>
      <c r="G32" s="9">
        <v>26314</v>
      </c>
      <c r="H32" s="9">
        <v>0</v>
      </c>
      <c r="I32" s="9">
        <v>1533117</v>
      </c>
      <c r="J32" s="9">
        <v>158035</v>
      </c>
      <c r="K32" s="9">
        <v>0</v>
      </c>
      <c r="L32" s="9">
        <v>25387</v>
      </c>
      <c r="M32" s="9">
        <v>246833</v>
      </c>
      <c r="N32" s="9">
        <v>2554</v>
      </c>
      <c r="O32" s="9">
        <v>2402</v>
      </c>
      <c r="P32" s="9">
        <v>0</v>
      </c>
      <c r="Q32" s="9">
        <f t="shared" si="3"/>
        <v>3696870</v>
      </c>
      <c r="R32" s="9">
        <f t="shared" si="0"/>
        <v>2262667</v>
      </c>
      <c r="S32" s="3">
        <f t="shared" si="1"/>
        <v>1299542</v>
      </c>
      <c r="T32" s="11">
        <f t="shared" si="2"/>
        <v>2.3492973393900063</v>
      </c>
    </row>
    <row r="33" spans="1:20" x14ac:dyDescent="0.25">
      <c r="A33" s="7">
        <v>1997</v>
      </c>
      <c r="B33" s="9">
        <v>1365746</v>
      </c>
      <c r="C33" s="9">
        <v>0</v>
      </c>
      <c r="D33" s="9">
        <v>1765</v>
      </c>
      <c r="E33" s="9">
        <v>0</v>
      </c>
      <c r="F33" s="9">
        <v>230482</v>
      </c>
      <c r="G33" s="9">
        <v>16857</v>
      </c>
      <c r="H33" s="9">
        <v>0</v>
      </c>
      <c r="I33" s="9">
        <v>2142070</v>
      </c>
      <c r="J33" s="9">
        <v>327237</v>
      </c>
      <c r="K33" s="9">
        <v>1220</v>
      </c>
      <c r="L33" s="9">
        <v>16829</v>
      </c>
      <c r="M33" s="9">
        <v>873782</v>
      </c>
      <c r="N33" s="9">
        <v>0</v>
      </c>
      <c r="O33" s="9">
        <v>10985</v>
      </c>
      <c r="P33" s="9">
        <v>6095</v>
      </c>
      <c r="Q33" s="9">
        <f t="shared" si="3"/>
        <v>4611345</v>
      </c>
      <c r="R33" s="9">
        <f t="shared" si="0"/>
        <v>3627322</v>
      </c>
      <c r="S33" s="3">
        <f t="shared" si="1"/>
        <v>2261576</v>
      </c>
      <c r="T33" s="11">
        <f t="shared" si="2"/>
        <v>2.6559272368361322</v>
      </c>
    </row>
    <row r="34" spans="1:20" x14ac:dyDescent="0.25">
      <c r="A34" s="7">
        <v>1998</v>
      </c>
      <c r="B34" s="9">
        <v>929090</v>
      </c>
      <c r="C34" s="9">
        <v>0</v>
      </c>
      <c r="D34" s="9">
        <v>3740</v>
      </c>
      <c r="E34" s="9">
        <v>3017</v>
      </c>
      <c r="F34" s="9">
        <v>702252</v>
      </c>
      <c r="G34" s="9">
        <v>12437</v>
      </c>
      <c r="H34" s="9">
        <v>0</v>
      </c>
      <c r="I34" s="9">
        <v>2711407</v>
      </c>
      <c r="J34" s="9">
        <v>314379</v>
      </c>
      <c r="K34" s="9">
        <v>1356</v>
      </c>
      <c r="L34" s="9">
        <v>30292</v>
      </c>
      <c r="M34" s="9">
        <v>677643</v>
      </c>
      <c r="N34" s="9">
        <v>6352</v>
      </c>
      <c r="O34" s="9">
        <v>3477</v>
      </c>
      <c r="P34" s="9">
        <v>0</v>
      </c>
      <c r="Q34" s="9">
        <f t="shared" si="3"/>
        <v>1902582</v>
      </c>
      <c r="R34" s="9">
        <f t="shared" si="0"/>
        <v>4466352</v>
      </c>
      <c r="S34" s="3">
        <f t="shared" si="1"/>
        <v>3537262</v>
      </c>
      <c r="T34" s="11">
        <f t="shared" si="2"/>
        <v>4.8072328837895144</v>
      </c>
    </row>
    <row r="35" spans="1:20" x14ac:dyDescent="0.25">
      <c r="A35" s="12">
        <v>1999</v>
      </c>
      <c r="B35" s="9">
        <v>949276</v>
      </c>
      <c r="C35" s="9">
        <v>1833</v>
      </c>
      <c r="D35" s="9">
        <v>0</v>
      </c>
      <c r="E35" s="9">
        <v>11713</v>
      </c>
      <c r="F35" s="9">
        <v>499505</v>
      </c>
      <c r="G35" s="9">
        <v>4233</v>
      </c>
      <c r="H35" s="9">
        <v>0</v>
      </c>
      <c r="I35" s="9">
        <v>3958012</v>
      </c>
      <c r="J35" s="9">
        <v>426787</v>
      </c>
      <c r="K35" s="9">
        <v>0</v>
      </c>
      <c r="L35" s="9">
        <v>18160</v>
      </c>
      <c r="M35" s="9">
        <v>807764</v>
      </c>
      <c r="N35" s="9">
        <v>14996</v>
      </c>
      <c r="O35" s="14">
        <v>10824.668609142042</v>
      </c>
      <c r="P35" s="14">
        <v>2278.8776019246402</v>
      </c>
      <c r="Q35" s="9">
        <f t="shared" si="3"/>
        <v>2985521</v>
      </c>
      <c r="R35" s="9">
        <f t="shared" ref="R35:R50" si="4">SUM(C35:P35)</f>
        <v>5756106.5462110667</v>
      </c>
      <c r="S35" s="3">
        <f t="shared" si="1"/>
        <v>4806830.5462110667</v>
      </c>
      <c r="T35" s="11">
        <f t="shared" si="2"/>
        <v>6.0636806852918079</v>
      </c>
    </row>
    <row r="36" spans="1:20" x14ac:dyDescent="0.25">
      <c r="A36" s="12">
        <v>2000</v>
      </c>
      <c r="B36" s="9">
        <v>696899</v>
      </c>
      <c r="C36" s="9">
        <v>4396</v>
      </c>
      <c r="D36" s="9">
        <v>634</v>
      </c>
      <c r="E36" s="9">
        <v>19641</v>
      </c>
      <c r="F36" s="9">
        <v>562922</v>
      </c>
      <c r="G36" s="9">
        <v>7454</v>
      </c>
      <c r="H36" s="9">
        <v>0</v>
      </c>
      <c r="I36" s="9">
        <v>4988691</v>
      </c>
      <c r="J36" s="9">
        <v>123758</v>
      </c>
      <c r="K36" s="9">
        <v>0</v>
      </c>
      <c r="L36" s="14">
        <v>67226.889256776893</v>
      </c>
      <c r="M36" s="14">
        <v>1253952.4004590332</v>
      </c>
      <c r="N36" s="14">
        <v>2278.8776019246402</v>
      </c>
      <c r="O36" s="14">
        <v>23771.731047776309</v>
      </c>
      <c r="P36" s="14">
        <v>4682.3106609256365</v>
      </c>
      <c r="Q36" s="9">
        <f t="shared" si="3"/>
        <v>1815411</v>
      </c>
      <c r="R36" s="9">
        <f t="shared" si="4"/>
        <v>7059408.2090264373</v>
      </c>
      <c r="S36" s="3">
        <f t="shared" si="1"/>
        <v>6362509.2090264373</v>
      </c>
      <c r="T36" s="11">
        <f t="shared" si="2"/>
        <v>10.129743634337885</v>
      </c>
    </row>
    <row r="37" spans="1:20" x14ac:dyDescent="0.25">
      <c r="A37" s="12">
        <v>2001</v>
      </c>
      <c r="B37" s="9">
        <v>738229</v>
      </c>
      <c r="C37" s="9">
        <v>0</v>
      </c>
      <c r="D37" s="9">
        <v>0</v>
      </c>
      <c r="E37" s="9">
        <v>12693</v>
      </c>
      <c r="F37" s="9">
        <v>133865</v>
      </c>
      <c r="G37" s="9">
        <v>4838</v>
      </c>
      <c r="H37" s="14">
        <v>0</v>
      </c>
      <c r="I37" s="14">
        <v>1102407.0399310447</v>
      </c>
      <c r="J37" s="14">
        <v>103973.7905878117</v>
      </c>
      <c r="K37" s="14">
        <v>0</v>
      </c>
      <c r="L37" s="14">
        <v>52225.772756478254</v>
      </c>
      <c r="M37" s="14">
        <v>279858.10642609384</v>
      </c>
      <c r="N37" s="14">
        <v>4682.3106609256365</v>
      </c>
      <c r="O37" s="14">
        <v>3540.1331830635481</v>
      </c>
      <c r="P37" s="14">
        <v>0</v>
      </c>
      <c r="Q37" s="9">
        <f t="shared" si="3"/>
        <v>2190577</v>
      </c>
      <c r="R37" s="9">
        <f t="shared" si="4"/>
        <v>1698083.1535454178</v>
      </c>
      <c r="S37" s="3">
        <f t="shared" si="1"/>
        <v>959854.15354541782</v>
      </c>
      <c r="T37" s="11">
        <f t="shared" si="2"/>
        <v>2.3002119309122477</v>
      </c>
    </row>
    <row r="38" spans="1:20" x14ac:dyDescent="0.25">
      <c r="A38" s="12">
        <v>2002</v>
      </c>
      <c r="B38" s="9">
        <v>1126642</v>
      </c>
      <c r="C38" s="9">
        <v>1906</v>
      </c>
      <c r="D38" s="9">
        <v>38</v>
      </c>
      <c r="E38" s="14">
        <v>13103.546211066681</v>
      </c>
      <c r="F38" s="14">
        <v>281726.24353793368</v>
      </c>
      <c r="G38" s="14">
        <v>10824.668609142042</v>
      </c>
      <c r="H38" s="14">
        <v>0</v>
      </c>
      <c r="I38" s="14">
        <v>2837840.438264084</v>
      </c>
      <c r="J38" s="14">
        <v>156677.31826943476</v>
      </c>
      <c r="K38" s="14">
        <v>0</v>
      </c>
      <c r="L38" s="14">
        <v>95583.595942715809</v>
      </c>
      <c r="M38" s="14">
        <v>227609.73935814458</v>
      </c>
      <c r="N38" s="14">
        <v>0</v>
      </c>
      <c r="O38" s="14">
        <v>3402.5791753349263</v>
      </c>
      <c r="P38" s="14">
        <v>0</v>
      </c>
      <c r="Q38" s="9">
        <f t="shared" si="3"/>
        <v>3467716</v>
      </c>
      <c r="R38" s="9">
        <f t="shared" si="4"/>
        <v>3628712.1293678568</v>
      </c>
      <c r="S38" s="3">
        <f t="shared" si="1"/>
        <v>2502070.1293678568</v>
      </c>
      <c r="T38" s="11">
        <f t="shared" si="2"/>
        <v>3.2208209256958793</v>
      </c>
    </row>
    <row r="39" spans="1:20" x14ac:dyDescent="0.25">
      <c r="A39" s="12">
        <v>2003</v>
      </c>
      <c r="B39" s="9">
        <v>1402340</v>
      </c>
      <c r="C39" s="14">
        <v>0</v>
      </c>
      <c r="D39" s="14">
        <v>0</v>
      </c>
      <c r="E39" s="14">
        <v>4682.3106609256365</v>
      </c>
      <c r="F39" s="14">
        <v>213585.40168683865</v>
      </c>
      <c r="G39" s="14">
        <v>23771.731047776309</v>
      </c>
      <c r="H39" s="14">
        <v>0</v>
      </c>
      <c r="I39" s="14">
        <v>1267159.4364083349</v>
      </c>
      <c r="J39" s="14">
        <v>150559.78184440857</v>
      </c>
      <c r="K39" s="14">
        <v>0</v>
      </c>
      <c r="L39" s="14">
        <v>20901.557791343119</v>
      </c>
      <c r="M39" s="14">
        <v>235750.12857677703</v>
      </c>
      <c r="N39" s="14">
        <v>3402.5791753349263</v>
      </c>
      <c r="O39" s="14">
        <v>0</v>
      </c>
      <c r="P39" s="14">
        <v>0</v>
      </c>
      <c r="Q39" s="9">
        <f t="shared" si="3"/>
        <v>4440636</v>
      </c>
      <c r="R39" s="9">
        <f t="shared" si="4"/>
        <v>1919812.927191739</v>
      </c>
      <c r="S39" s="3">
        <f t="shared" si="1"/>
        <v>517472.92719173897</v>
      </c>
      <c r="T39" s="11">
        <f t="shared" si="2"/>
        <v>1.369006750996006</v>
      </c>
    </row>
    <row r="40" spans="1:20" x14ac:dyDescent="0.25">
      <c r="A40" s="12">
        <v>2004</v>
      </c>
      <c r="B40" s="9">
        <v>1690547</v>
      </c>
      <c r="C40" s="14">
        <v>0</v>
      </c>
      <c r="D40" s="14">
        <v>0</v>
      </c>
      <c r="E40" s="14">
        <v>7288.5094945425999</v>
      </c>
      <c r="F40" s="14">
        <v>315904.82580631779</v>
      </c>
      <c r="G40" s="14">
        <v>14785.262117500703</v>
      </c>
      <c r="H40" s="14">
        <v>0</v>
      </c>
      <c r="I40" s="14">
        <v>1764966.4265201595</v>
      </c>
      <c r="J40" s="14">
        <v>239152.70775211195</v>
      </c>
      <c r="K40" s="14">
        <v>0</v>
      </c>
      <c r="L40" s="14">
        <v>8271.8537554487993</v>
      </c>
      <c r="M40" s="14">
        <v>858114.91567394929</v>
      </c>
      <c r="N40" s="14">
        <v>4315.7497854515468</v>
      </c>
      <c r="O40" s="14">
        <v>8142.0188359853964</v>
      </c>
      <c r="P40" s="14">
        <v>15657.728530741148</v>
      </c>
      <c r="Q40" s="9">
        <f t="shared" si="3"/>
        <v>5706183</v>
      </c>
      <c r="R40" s="9">
        <f t="shared" si="4"/>
        <v>3236599.9982722094</v>
      </c>
      <c r="S40" s="3">
        <f t="shared" si="1"/>
        <v>1546052.9982722094</v>
      </c>
      <c r="T40" s="11">
        <f t="shared" si="2"/>
        <v>1.9145282552169265</v>
      </c>
    </row>
    <row r="41" spans="1:20" x14ac:dyDescent="0.25">
      <c r="A41" s="12">
        <v>2005</v>
      </c>
      <c r="B41" s="9">
        <v>1654003</v>
      </c>
      <c r="C41" s="14">
        <v>0</v>
      </c>
      <c r="D41" s="14">
        <v>0</v>
      </c>
      <c r="E41" s="14">
        <v>3402.5791753349263</v>
      </c>
      <c r="F41" s="14">
        <v>148984.35960573642</v>
      </c>
      <c r="G41" s="14">
        <v>3402.5791753349263</v>
      </c>
      <c r="H41" s="14">
        <v>0</v>
      </c>
      <c r="I41" s="14">
        <v>1598266.0038788898</v>
      </c>
      <c r="J41" s="14">
        <v>168314.24163261036</v>
      </c>
      <c r="K41" s="14">
        <v>0</v>
      </c>
      <c r="L41" s="14">
        <v>23799.747366726544</v>
      </c>
      <c r="M41" s="14">
        <v>2857848.6114308741</v>
      </c>
      <c r="N41" s="14">
        <v>0</v>
      </c>
      <c r="O41" s="14">
        <v>0</v>
      </c>
      <c r="P41" s="14">
        <v>0</v>
      </c>
      <c r="Q41" s="9">
        <f t="shared" si="3"/>
        <v>6110186</v>
      </c>
      <c r="R41" s="9">
        <f t="shared" si="4"/>
        <v>4804018.1222655075</v>
      </c>
      <c r="S41" s="3">
        <f t="shared" si="1"/>
        <v>3150015.1222655075</v>
      </c>
      <c r="T41" s="11">
        <f t="shared" si="2"/>
        <v>2.9044796909470585</v>
      </c>
    </row>
    <row r="42" spans="1:20" x14ac:dyDescent="0.25">
      <c r="A42" s="12">
        <v>2006</v>
      </c>
      <c r="B42" s="9">
        <v>1892090</v>
      </c>
      <c r="C42" s="14">
        <v>0</v>
      </c>
      <c r="D42" s="14">
        <v>7048.1997203366318</v>
      </c>
      <c r="E42" s="14">
        <v>4315.7497854515468</v>
      </c>
      <c r="F42" s="14">
        <v>841211.56234759744</v>
      </c>
      <c r="G42" s="14">
        <v>101060.47414265707</v>
      </c>
      <c r="H42" s="14">
        <v>0</v>
      </c>
      <c r="I42" s="14">
        <v>2438847.7959482414</v>
      </c>
      <c r="J42" s="14">
        <v>340712.17282892735</v>
      </c>
      <c r="K42" s="14">
        <v>0</v>
      </c>
      <c r="L42" s="14">
        <v>79653.681031569155</v>
      </c>
      <c r="M42" s="14">
        <v>1172387.7124287244</v>
      </c>
      <c r="N42" s="14">
        <v>0</v>
      </c>
      <c r="O42" s="14">
        <v>21043.102573716926</v>
      </c>
      <c r="P42" s="14">
        <v>0</v>
      </c>
      <c r="Q42" s="9">
        <f t="shared" si="3"/>
        <v>2848597.0024057999</v>
      </c>
      <c r="R42" s="3">
        <f t="shared" si="4"/>
        <v>5006280.4508072222</v>
      </c>
      <c r="S42" s="3">
        <f t="shared" si="1"/>
        <v>3114190.4508072222</v>
      </c>
      <c r="T42" s="11">
        <f t="shared" si="2"/>
        <v>2.645899746210393</v>
      </c>
    </row>
    <row r="43" spans="1:20" x14ac:dyDescent="0.25">
      <c r="A43" s="12">
        <v>2007</v>
      </c>
      <c r="B43" s="9">
        <v>964261</v>
      </c>
      <c r="C43" s="14">
        <v>4315.7497854515468</v>
      </c>
      <c r="D43" s="14">
        <v>8271.8537554487993</v>
      </c>
      <c r="E43" s="14">
        <v>0</v>
      </c>
      <c r="F43" s="14">
        <v>498542.07641879818</v>
      </c>
      <c r="G43" s="14">
        <v>71399.242100179632</v>
      </c>
      <c r="H43" s="14">
        <v>0</v>
      </c>
      <c r="I43" s="14">
        <v>2151603.3241521465</v>
      </c>
      <c r="J43" s="14">
        <v>739777.60047882481</v>
      </c>
      <c r="K43" s="14">
        <v>0</v>
      </c>
      <c r="L43" s="14">
        <v>21043.102573716926</v>
      </c>
      <c r="M43" s="14">
        <v>876916.87794265198</v>
      </c>
      <c r="N43" s="14">
        <v>0</v>
      </c>
      <c r="O43" s="14">
        <v>0</v>
      </c>
      <c r="P43" s="14">
        <v>6808.068347359851</v>
      </c>
      <c r="Q43" s="9">
        <f t="shared" si="3"/>
        <v>3601777.4314812594</v>
      </c>
      <c r="R43" s="3">
        <f t="shared" si="4"/>
        <v>4378677.8955545789</v>
      </c>
      <c r="S43" s="3">
        <f t="shared" si="1"/>
        <v>3414416.8955545789</v>
      </c>
      <c r="T43" s="11">
        <f t="shared" si="2"/>
        <v>4.5409675342615525</v>
      </c>
    </row>
    <row r="44" spans="1:20" x14ac:dyDescent="0.25">
      <c r="A44" s="7">
        <v>2008</v>
      </c>
      <c r="B44" s="9">
        <v>708833</v>
      </c>
      <c r="C44" s="14">
        <v>0</v>
      </c>
      <c r="D44" s="14">
        <v>8142.0188359853964</v>
      </c>
      <c r="E44" s="14">
        <v>0</v>
      </c>
      <c r="F44" s="14">
        <v>591917.47401303786</v>
      </c>
      <c r="G44" s="14">
        <v>11447.235597351255</v>
      </c>
      <c r="H44" s="14">
        <v>0</v>
      </c>
      <c r="I44" s="14">
        <v>1987847.56898957</v>
      </c>
      <c r="J44" s="14">
        <v>261587.5337181018</v>
      </c>
      <c r="K44" s="14">
        <v>0</v>
      </c>
      <c r="L44" s="14">
        <v>0</v>
      </c>
      <c r="M44" s="14">
        <v>519455.61490355665</v>
      </c>
      <c r="N44" s="14">
        <v>0</v>
      </c>
      <c r="O44" s="14">
        <v>0</v>
      </c>
      <c r="P44" s="14">
        <v>0</v>
      </c>
      <c r="Q44" s="9">
        <f t="shared" si="3"/>
        <v>2082431.2841550284</v>
      </c>
      <c r="R44" s="3">
        <f t="shared" si="4"/>
        <v>3380397.4460576028</v>
      </c>
      <c r="S44" s="3">
        <f t="shared" si="1"/>
        <v>2671564.4460576028</v>
      </c>
      <c r="T44" s="11">
        <f t="shared" si="2"/>
        <v>4.7689617244930789</v>
      </c>
    </row>
    <row r="45" spans="1:20" x14ac:dyDescent="0.25">
      <c r="A45" s="7">
        <v>2009</v>
      </c>
      <c r="B45" s="9">
        <v>848117</v>
      </c>
      <c r="C45" s="14">
        <v>0</v>
      </c>
      <c r="D45" s="14">
        <v>22894.47119470251</v>
      </c>
      <c r="E45" s="14">
        <v>0</v>
      </c>
      <c r="F45" s="14">
        <v>438639.84502799594</v>
      </c>
      <c r="G45" s="14">
        <v>14149.672420257933</v>
      </c>
      <c r="H45" s="14">
        <v>0</v>
      </c>
      <c r="I45" s="14">
        <v>2160200.0866172807</v>
      </c>
      <c r="J45" s="14">
        <v>246111.67075705863</v>
      </c>
      <c r="K45" s="14">
        <v>0</v>
      </c>
      <c r="L45" s="14">
        <v>14894.163022733794</v>
      </c>
      <c r="M45" s="14">
        <v>903197.32176321594</v>
      </c>
      <c r="N45" s="14">
        <v>0</v>
      </c>
      <c r="O45" s="14">
        <v>9368.1609574160921</v>
      </c>
      <c r="P45" s="14">
        <v>0</v>
      </c>
      <c r="Q45" s="9">
        <f t="shared" si="3"/>
        <v>2430413.6966678044</v>
      </c>
      <c r="R45" s="3">
        <f t="shared" si="4"/>
        <v>3809455.3917606613</v>
      </c>
      <c r="S45" s="3">
        <f t="shared" si="1"/>
        <v>2961338.3917606613</v>
      </c>
      <c r="T45" s="11">
        <f t="shared" si="2"/>
        <v>4.4916625792911367</v>
      </c>
    </row>
    <row r="46" spans="1:20" x14ac:dyDescent="0.25">
      <c r="A46" s="7">
        <v>2010</v>
      </c>
      <c r="B46" s="9">
        <v>1038323.1789599999</v>
      </c>
      <c r="C46" s="14">
        <v>0</v>
      </c>
      <c r="D46" s="14">
        <v>6893.4301534589931</v>
      </c>
      <c r="E46" s="14">
        <v>13616.136694719702</v>
      </c>
      <c r="F46" s="14">
        <v>416994.18627579085</v>
      </c>
      <c r="G46" s="14">
        <v>27232.273389439404</v>
      </c>
      <c r="H46" s="14">
        <v>0</v>
      </c>
      <c r="I46" s="14">
        <v>1671965.2747058603</v>
      </c>
      <c r="J46" s="14">
        <v>314686.93155724736</v>
      </c>
      <c r="K46" s="14">
        <v>0</v>
      </c>
      <c r="L46" s="14">
        <v>21515.048865130466</v>
      </c>
      <c r="M46" s="14">
        <v>1121580.9363402904</v>
      </c>
      <c r="N46" s="14">
        <v>0</v>
      </c>
      <c r="O46" s="14">
        <v>28965</v>
      </c>
      <c r="P46" s="14">
        <v>1939</v>
      </c>
      <c r="Q46" s="9">
        <f t="shared" si="3"/>
        <v>3596458.154542957</v>
      </c>
      <c r="R46" s="3">
        <f>SUM(C46:P46)</f>
        <v>3625388.2179819373</v>
      </c>
      <c r="S46" s="3">
        <f t="shared" si="1"/>
        <v>2587065.0390219372</v>
      </c>
      <c r="T46" s="11">
        <f t="shared" si="2"/>
        <v>3.4915797811748561</v>
      </c>
    </row>
    <row r="47" spans="1:20" x14ac:dyDescent="0.25">
      <c r="A47" s="7">
        <v>2011</v>
      </c>
      <c r="B47" s="9">
        <v>1280732.6324800001</v>
      </c>
      <c r="C47" s="14">
        <v>0</v>
      </c>
      <c r="D47" s="14">
        <v>13616.136694719702</v>
      </c>
      <c r="E47" s="14">
        <v>0</v>
      </c>
      <c r="F47" s="14">
        <v>895559.2894438653</v>
      </c>
      <c r="G47" s="14">
        <v>18713.179182409127</v>
      </c>
      <c r="H47" s="14">
        <v>0</v>
      </c>
      <c r="I47" s="14">
        <v>2119496.3824656769</v>
      </c>
      <c r="J47" s="14">
        <v>185224.63740136594</v>
      </c>
      <c r="K47" s="14">
        <v>0</v>
      </c>
      <c r="L47" s="14">
        <v>45340</v>
      </c>
      <c r="M47" s="14">
        <v>1221727</v>
      </c>
      <c r="N47" s="14">
        <v>3113</v>
      </c>
      <c r="O47" s="14">
        <v>8197.1977621916394</v>
      </c>
      <c r="P47" s="14">
        <v>1046.640200571964</v>
      </c>
      <c r="Q47" s="9">
        <f t="shared" si="3"/>
        <v>6263091.4122964591</v>
      </c>
      <c r="R47" s="3">
        <f t="shared" si="4"/>
        <v>4512033.4631508011</v>
      </c>
      <c r="S47" s="3">
        <f t="shared" si="1"/>
        <v>3231300.830670801</v>
      </c>
      <c r="T47" s="11">
        <f t="shared" si="2"/>
        <v>3.5230096811180149</v>
      </c>
    </row>
    <row r="48" spans="1:20" x14ac:dyDescent="0.25">
      <c r="A48" s="7">
        <v>2012</v>
      </c>
      <c r="B48" s="9">
        <v>1212923.4142400001</v>
      </c>
      <c r="C48" s="14">
        <v>0</v>
      </c>
      <c r="D48" s="14">
        <v>0</v>
      </c>
      <c r="E48" s="14">
        <v>2230.3656588683843</v>
      </c>
      <c r="F48" s="14">
        <v>240205.83370929785</v>
      </c>
      <c r="G48" s="14">
        <v>10282.778773183149</v>
      </c>
      <c r="H48" s="14">
        <v>0</v>
      </c>
      <c r="I48" s="14">
        <v>1057626</v>
      </c>
      <c r="J48" s="14">
        <v>75078</v>
      </c>
      <c r="K48" s="14">
        <v>0</v>
      </c>
      <c r="L48" s="14">
        <v>24788.271444316997</v>
      </c>
      <c r="M48" s="14">
        <v>57899.085001306761</v>
      </c>
      <c r="N48" s="14">
        <v>0</v>
      </c>
      <c r="O48" s="14">
        <v>0</v>
      </c>
      <c r="P48" s="14">
        <v>0</v>
      </c>
      <c r="Q48" s="9">
        <f t="shared" si="3"/>
        <v>4769681.4988963557</v>
      </c>
      <c r="R48" s="3">
        <f t="shared" si="4"/>
        <v>1468110.3345869731</v>
      </c>
      <c r="S48" s="3">
        <f t="shared" si="1"/>
        <v>255186.920346973</v>
      </c>
      <c r="T48" s="11">
        <f t="shared" si="2"/>
        <v>1.2103899696807068</v>
      </c>
    </row>
    <row r="49" spans="1:20" x14ac:dyDescent="0.25">
      <c r="A49" s="7">
        <v>2013</v>
      </c>
      <c r="B49" s="9">
        <v>980207.55636000005</v>
      </c>
      <c r="C49" s="14">
        <v>0</v>
      </c>
      <c r="D49" s="14">
        <v>1938.2036779345647</v>
      </c>
      <c r="E49" s="14">
        <v>992</v>
      </c>
      <c r="F49" s="14">
        <v>147848</v>
      </c>
      <c r="G49" s="14">
        <v>8094</v>
      </c>
      <c r="H49" s="14">
        <v>0</v>
      </c>
      <c r="I49" s="14">
        <v>586541.96046636219</v>
      </c>
      <c r="J49" s="14">
        <v>184646.34396759633</v>
      </c>
      <c r="K49" s="14">
        <v>0</v>
      </c>
      <c r="L49" s="14">
        <v>6686.3474187047532</v>
      </c>
      <c r="M49" s="14">
        <v>171698.32844262719</v>
      </c>
      <c r="N49" s="14">
        <v>0</v>
      </c>
      <c r="O49" s="14">
        <v>0</v>
      </c>
      <c r="P49" s="14">
        <v>0</v>
      </c>
      <c r="Q49" s="9">
        <f t="shared" si="3"/>
        <v>3628121.1333994698</v>
      </c>
      <c r="R49" s="9">
        <f>SUM(C49:P49)</f>
        <v>1108445.1839732251</v>
      </c>
      <c r="S49" s="3">
        <f t="shared" si="1"/>
        <v>128237.62761322502</v>
      </c>
      <c r="T49" s="11">
        <f t="shared" si="2"/>
        <v>1.1308270139126813</v>
      </c>
    </row>
    <row r="50" spans="1:20" x14ac:dyDescent="0.25">
      <c r="A50" s="7">
        <v>2014</v>
      </c>
      <c r="B50" s="9">
        <v>1218341.60528</v>
      </c>
      <c r="C50" s="14">
        <v>1530</v>
      </c>
      <c r="D50" s="14">
        <v>3468</v>
      </c>
      <c r="E50" s="14">
        <v>0</v>
      </c>
      <c r="F50" s="14">
        <v>662868.23716824525</v>
      </c>
      <c r="G50" s="14">
        <v>37163.657380424811</v>
      </c>
      <c r="H50" s="14">
        <v>0</v>
      </c>
      <c r="I50" s="14">
        <v>2956383.7868312788</v>
      </c>
      <c r="J50" s="14">
        <v>104726.76697006811</v>
      </c>
      <c r="K50" s="14">
        <v>0</v>
      </c>
      <c r="L50" s="14">
        <v>8253.5394851507044</v>
      </c>
      <c r="M50" s="14">
        <v>34197.846115313318</v>
      </c>
      <c r="N50" s="14">
        <v>0</v>
      </c>
      <c r="O50" s="14">
        <v>1077.432092065746</v>
      </c>
      <c r="P50" s="14">
        <v>0</v>
      </c>
      <c r="Q50" s="9">
        <f t="shared" si="3"/>
        <v>3404034.1736799255</v>
      </c>
      <c r="R50" s="9">
        <f t="shared" si="4"/>
        <v>3809669.2660425468</v>
      </c>
      <c r="S50" s="3">
        <f t="shared" si="1"/>
        <v>2591327.6607625466</v>
      </c>
      <c r="T50" s="11">
        <f t="shared" si="2"/>
        <v>3.1269302874763159</v>
      </c>
    </row>
    <row r="51" spans="1:20" x14ac:dyDescent="0.25">
      <c r="A51" s="7">
        <v>2015</v>
      </c>
      <c r="B51" s="9">
        <v>1400047.3912800001</v>
      </c>
      <c r="C51" s="14">
        <v>880.51936195149403</v>
      </c>
      <c r="D51" s="14">
        <v>2178.529541420251</v>
      </c>
      <c r="E51" s="14">
        <v>0</v>
      </c>
      <c r="F51" s="14">
        <v>292337.48182720051</v>
      </c>
      <c r="G51" s="14">
        <v>9627.0742233564633</v>
      </c>
      <c r="H51" s="14">
        <v>0</v>
      </c>
      <c r="I51" s="14">
        <v>1231516.633575435</v>
      </c>
      <c r="J51" s="14">
        <v>97176.28154384598</v>
      </c>
      <c r="K51" s="14">
        <v>0</v>
      </c>
      <c r="L51" s="14">
        <v>18845.057312145473</v>
      </c>
      <c r="M51" s="14">
        <v>614731.11568088399</v>
      </c>
      <c r="N51" s="14">
        <v>0</v>
      </c>
      <c r="O51" s="14">
        <v>11960.768934572443</v>
      </c>
      <c r="P51" s="14">
        <v>0</v>
      </c>
      <c r="Q51" s="9">
        <f t="shared" si="3"/>
        <v>3819016.1596753323</v>
      </c>
      <c r="R51" s="3">
        <f>SUM(C51:P51)</f>
        <v>2279253.4620008115</v>
      </c>
      <c r="S51" s="3">
        <f t="shared" si="1"/>
        <v>879206.07072081137</v>
      </c>
      <c r="T51" s="11">
        <f t="shared" si="2"/>
        <v>1.6279830784277902</v>
      </c>
    </row>
    <row r="52" spans="1:20" x14ac:dyDescent="0.25">
      <c r="A52" s="7">
        <v>2016</v>
      </c>
      <c r="B52" s="9">
        <v>1119987.5382000001</v>
      </c>
      <c r="C52" s="14">
        <v>0</v>
      </c>
      <c r="D52" s="14">
        <v>982.5560633199301</v>
      </c>
      <c r="E52" s="14">
        <v>2337.3702456318533</v>
      </c>
      <c r="F52" s="14">
        <v>1019326.7765305156</v>
      </c>
      <c r="G52" s="14">
        <v>0</v>
      </c>
      <c r="H52" s="14">
        <v>0</v>
      </c>
      <c r="I52" s="14">
        <v>2649780.0009622849</v>
      </c>
      <c r="J52" s="14">
        <v>180517.91306534415</v>
      </c>
      <c r="K52" s="14">
        <v>0</v>
      </c>
      <c r="L52" s="14">
        <v>33666.555265656083</v>
      </c>
      <c r="M52" s="14">
        <v>552201.16193000902</v>
      </c>
      <c r="N52" s="14">
        <v>0</v>
      </c>
      <c r="O52" s="15">
        <v>3764</v>
      </c>
      <c r="P52" s="15">
        <v>0</v>
      </c>
      <c r="Q52" s="9">
        <f t="shared" si="3"/>
        <v>3711842.3478491637</v>
      </c>
      <c r="R52" s="3">
        <f>SUM(C52:P52)</f>
        <v>4442576.3340627616</v>
      </c>
      <c r="S52" s="3">
        <f t="shared" si="1"/>
        <v>3322588.7958627613</v>
      </c>
      <c r="T52" s="11">
        <f t="shared" si="2"/>
        <v>3.9666301476913715</v>
      </c>
    </row>
    <row r="53" spans="1:20" x14ac:dyDescent="0.25">
      <c r="A53" s="7">
        <v>2017</v>
      </c>
      <c r="B53" s="9">
        <v>1071064.084</v>
      </c>
      <c r="C53" s="14">
        <v>270.64530226927292</v>
      </c>
      <c r="D53" s="14">
        <v>938.86506269946835</v>
      </c>
      <c r="E53" s="14">
        <v>6071.5873141529719</v>
      </c>
      <c r="F53" s="14">
        <v>490758.59964227851</v>
      </c>
      <c r="G53" s="14">
        <v>19312.851922498048</v>
      </c>
      <c r="H53" s="14">
        <v>1083.6172838853302</v>
      </c>
      <c r="I53" s="14">
        <v>1397841.90134885</v>
      </c>
      <c r="J53" s="14">
        <v>159243.13221939959</v>
      </c>
      <c r="K53" s="14">
        <v>0</v>
      </c>
      <c r="L53" s="15">
        <v>32115</v>
      </c>
      <c r="M53" s="15">
        <v>443522</v>
      </c>
      <c r="N53" s="15">
        <v>0</v>
      </c>
      <c r="O53" s="17">
        <v>1252</v>
      </c>
      <c r="P53" s="17"/>
      <c r="Q53" s="9">
        <f t="shared" si="3"/>
        <v>2595720</v>
      </c>
      <c r="R53" s="3">
        <f>SUM(C53:P53)</f>
        <v>2552410.200096033</v>
      </c>
      <c r="S53" s="3">
        <f t="shared" si="1"/>
        <v>1481346.116096033</v>
      </c>
      <c r="T53" s="11">
        <f t="shared" si="2"/>
        <v>2.3830602092115649</v>
      </c>
    </row>
    <row r="54" spans="1:20" x14ac:dyDescent="0.25">
      <c r="A54" s="7">
        <v>2018</v>
      </c>
      <c r="B54" s="9">
        <v>886760.57544000004</v>
      </c>
      <c r="C54" s="14">
        <v>2716.1320168213997</v>
      </c>
      <c r="D54" s="14">
        <v>8529.8694410214066</v>
      </c>
      <c r="E54" s="14">
        <v>7651.5409536555426</v>
      </c>
      <c r="F54" s="14">
        <v>693971.27253096981</v>
      </c>
      <c r="G54" s="14">
        <v>60548.173834861343</v>
      </c>
      <c r="H54" s="15">
        <v>1713</v>
      </c>
      <c r="I54" s="15">
        <v>2446075</v>
      </c>
      <c r="J54" s="15">
        <v>255187</v>
      </c>
      <c r="K54" s="15">
        <v>0</v>
      </c>
      <c r="L54" s="17">
        <v>41987</v>
      </c>
      <c r="M54" s="17">
        <v>142252</v>
      </c>
      <c r="N54" s="17"/>
      <c r="O54"/>
      <c r="P54"/>
      <c r="Q54" s="9">
        <f t="shared" si="3"/>
        <v>1566210.4422943876</v>
      </c>
      <c r="R54" s="3">
        <f>SUM(C54:P54)</f>
        <v>3660630.9887773297</v>
      </c>
      <c r="T54" s="11">
        <f t="shared" si="2"/>
        <v>4.128093975040521</v>
      </c>
    </row>
    <row r="55" spans="1:20" x14ac:dyDescent="0.25">
      <c r="A55" s="7">
        <v>2019</v>
      </c>
      <c r="B55" s="9">
        <v>1457031.3797200001</v>
      </c>
      <c r="C55" s="14">
        <v>0</v>
      </c>
      <c r="D55" s="14">
        <v>11310.48273627983</v>
      </c>
      <c r="E55" s="15">
        <v>16713</v>
      </c>
      <c r="F55" s="15">
        <v>387717</v>
      </c>
      <c r="G55" s="15">
        <v>35211</v>
      </c>
      <c r="H55" s="17">
        <v>5</v>
      </c>
      <c r="I55" s="17">
        <v>2262636</v>
      </c>
      <c r="J55" s="17">
        <v>269736</v>
      </c>
      <c r="K55" s="17"/>
      <c r="L55"/>
      <c r="M55"/>
      <c r="N55"/>
      <c r="O55" s="9"/>
      <c r="P55" s="9"/>
      <c r="Q55" s="9">
        <f t="shared" ref="Q55:Q60" si="5">SUM(O48:P48,L49:N49,H50:K50,E51:G51,C52:D52)</f>
        <v>3542442.3417765559</v>
      </c>
      <c r="R55" s="3"/>
      <c r="T55" s="11">
        <f t="shared" si="2"/>
        <v>0</v>
      </c>
    </row>
    <row r="56" spans="1:20" x14ac:dyDescent="0.25">
      <c r="A56" s="7">
        <v>2020</v>
      </c>
      <c r="B56" s="3">
        <v>1605627</v>
      </c>
      <c r="C56" s="15">
        <v>1372</v>
      </c>
      <c r="D56" s="15">
        <v>14420</v>
      </c>
      <c r="E56" s="17">
        <v>220</v>
      </c>
      <c r="F56" s="17">
        <v>977210</v>
      </c>
      <c r="G56" s="17">
        <v>3586</v>
      </c>
      <c r="H56"/>
      <c r="I56"/>
      <c r="J56"/>
      <c r="K56"/>
      <c r="L56"/>
      <c r="M56" s="9"/>
      <c r="N56" s="9"/>
      <c r="O56" s="9"/>
      <c r="P56" s="9"/>
      <c r="Q56" s="9">
        <f t="shared" si="5"/>
        <v>2394017.9578608614</v>
      </c>
      <c r="R56" s="3"/>
      <c r="T56" s="11">
        <f>R56/B56</f>
        <v>0</v>
      </c>
    </row>
    <row r="57" spans="1:20" x14ac:dyDescent="0.25">
      <c r="A57" s="7">
        <v>2021</v>
      </c>
      <c r="B57" s="9">
        <v>2003372.6376399999</v>
      </c>
      <c r="C57" s="17">
        <v>1092</v>
      </c>
      <c r="D57" s="17">
        <v>4813</v>
      </c>
      <c r="E57"/>
      <c r="F57"/>
      <c r="G57"/>
      <c r="H57" s="9"/>
      <c r="I57" s="9"/>
      <c r="J57" s="9"/>
      <c r="K57" s="9"/>
      <c r="L57" s="9"/>
      <c r="M57" s="9"/>
      <c r="N57" s="9"/>
      <c r="O57" s="9"/>
      <c r="P57" s="9"/>
      <c r="Q57" s="9">
        <f t="shared" si="5"/>
        <v>3992340.5594494962</v>
      </c>
      <c r="R57" s="3"/>
      <c r="T57" s="11">
        <f>R57/B57</f>
        <v>0</v>
      </c>
    </row>
    <row r="58" spans="1:20" x14ac:dyDescent="0.25">
      <c r="A58" s="7">
        <v>2022</v>
      </c>
      <c r="B58" s="9">
        <v>1203196.3204000001</v>
      </c>
      <c r="C58"/>
      <c r="D58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>
        <f t="shared" si="5"/>
        <v>2929478.6070381389</v>
      </c>
      <c r="R58" s="3"/>
      <c r="T58" s="11">
        <f>R58/B58</f>
        <v>0</v>
      </c>
    </row>
    <row r="59" spans="1:20" x14ac:dyDescent="0.25">
      <c r="A59" s="7">
        <v>2023</v>
      </c>
      <c r="B59" s="13">
        <v>1882900.7294399999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>
        <f t="shared" si="5"/>
        <v>3637809</v>
      </c>
      <c r="R59" s="3"/>
      <c r="T59" s="11"/>
    </row>
    <row r="60" spans="1:20" x14ac:dyDescent="0.25">
      <c r="A60" s="7">
        <v>2024</v>
      </c>
      <c r="B60" s="13">
        <v>1374675.03736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>
        <f t="shared" si="5"/>
        <v>3704789</v>
      </c>
      <c r="R60" s="3"/>
      <c r="T60" s="11"/>
    </row>
    <row r="61" spans="1:20" x14ac:dyDescent="0.25">
      <c r="A61" s="7">
        <v>2025</v>
      </c>
      <c r="Q61"/>
    </row>
    <row r="62" spans="1:20" x14ac:dyDescent="0.25">
      <c r="A62" s="16"/>
      <c r="B62" s="6" t="s">
        <v>6</v>
      </c>
    </row>
    <row r="63" spans="1:20" x14ac:dyDescent="0.25">
      <c r="A63"/>
      <c r="B63"/>
    </row>
    <row r="65" spans="3:16" x14ac:dyDescent="0.25">
      <c r="H65" s="20"/>
      <c r="I65" s="20"/>
      <c r="J65" s="20"/>
      <c r="K65" s="20"/>
    </row>
    <row r="74" spans="3:16" x14ac:dyDescent="0.25">
      <c r="C74" s="20"/>
      <c r="D74" s="20"/>
      <c r="E74" s="20"/>
      <c r="F74" s="20"/>
      <c r="G74" s="20"/>
      <c r="L74" s="20"/>
      <c r="M74" s="20"/>
      <c r="N74" s="20"/>
      <c r="O74" s="20"/>
      <c r="P74" s="20"/>
    </row>
  </sheetData>
  <mergeCells count="5">
    <mergeCell ref="C74:D74"/>
    <mergeCell ref="E74:G74"/>
    <mergeCell ref="H65:K65"/>
    <mergeCell ref="L74:N74"/>
    <mergeCell ref="O74:P74"/>
  </mergeCells>
  <pageMargins left="0.7" right="0.7" top="0.75" bottom="0.75" header="0.3" footer="0.3"/>
  <pageSetup orientation="portrait" r:id="rId1"/>
  <ignoredErrors>
    <ignoredError sqref="Q10:Q30 Q31:Q60 R4:R54" formulaRange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Kenai R. sockeye</vt:lpstr>
    </vt:vector>
  </TitlesOfParts>
  <Company>State of Alaska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Gatt, Kyle P (DFG)</dc:creator>
  <cp:lastModifiedBy>Munro, Andrew R (DFG)</cp:lastModifiedBy>
  <cp:lastPrinted>2025-07-02T19:55:17Z</cp:lastPrinted>
  <dcterms:created xsi:type="dcterms:W3CDTF">2023-10-30T18:48:54Z</dcterms:created>
  <dcterms:modified xsi:type="dcterms:W3CDTF">2026-06-26T22:17:51Z</dcterms:modified>
</cp:coreProperties>
</file>