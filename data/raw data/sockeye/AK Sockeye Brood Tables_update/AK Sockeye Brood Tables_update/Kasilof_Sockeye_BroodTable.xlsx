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alaska-my.sharepoint.com/personal/andrew_munro_alaska_gov/Documents/Desktop/AK Sockeye Brood Tables_update/"/>
    </mc:Choice>
  </mc:AlternateContent>
  <xr:revisionPtr revIDLastSave="65" documentId="8_{B12BDCE5-177C-4CF4-ACB3-367EFA2225C8}" xr6:coauthVersionLast="47" xr6:coauthVersionMax="47" xr10:uidLastSave="{CF4876B0-6E52-4673-8154-B81EFE281711}"/>
  <bookViews>
    <workbookView xWindow="3285" yWindow="1755" windowWidth="28800" windowHeight="11295" xr2:uid="{00000000-000D-0000-FFFF-FFFF00000000}"/>
  </bookViews>
  <sheets>
    <sheet name="Kasilof River sockey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3" i="17" l="1"/>
  <c r="Q60" i="17"/>
  <c r="Q59" i="17"/>
  <c r="Q58" i="17"/>
  <c r="Q57" i="17"/>
  <c r="Q56" i="17"/>
  <c r="Q55" i="17"/>
  <c r="R54" i="17"/>
  <c r="Q54" i="17"/>
  <c r="R53" i="17"/>
  <c r="R52" i="17"/>
  <c r="Q52" i="17"/>
  <c r="R51" i="17"/>
  <c r="Q51" i="17"/>
  <c r="R50" i="17"/>
  <c r="Q50" i="17"/>
  <c r="R49" i="17"/>
  <c r="Q49" i="17"/>
  <c r="R48" i="17"/>
  <c r="Q48" i="17"/>
  <c r="R47" i="17"/>
  <c r="Q47" i="17"/>
  <c r="R46" i="17"/>
  <c r="Q46" i="17"/>
  <c r="R45" i="17"/>
  <c r="Q45" i="17"/>
  <c r="R44" i="17"/>
  <c r="Q44" i="17"/>
  <c r="R43" i="17"/>
  <c r="Q43" i="17"/>
  <c r="R42" i="17"/>
  <c r="Q42" i="17"/>
  <c r="R41" i="17"/>
  <c r="Q41" i="17"/>
  <c r="R40" i="17"/>
  <c r="Q40" i="17"/>
  <c r="R39" i="17"/>
  <c r="Q39" i="17"/>
  <c r="R38" i="17"/>
  <c r="Q38" i="17"/>
  <c r="R37" i="17"/>
  <c r="Q37" i="17"/>
  <c r="R36" i="17"/>
  <c r="Q36" i="17"/>
  <c r="R35" i="17"/>
  <c r="Q35" i="17"/>
  <c r="R34" i="17"/>
  <c r="Q34" i="17"/>
  <c r="R33" i="17"/>
  <c r="Q33" i="17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Q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R9" i="17"/>
  <c r="R8" i="17"/>
  <c r="R7" i="17"/>
  <c r="R6" i="17"/>
  <c r="R5" i="17"/>
  <c r="R4" i="17"/>
  <c r="T60" i="17" l="1"/>
  <c r="T59" i="17"/>
  <c r="T58" i="17"/>
  <c r="T57" i="17"/>
  <c r="T56" i="17"/>
  <c r="T55" i="17"/>
  <c r="T54" i="17"/>
  <c r="T53" i="17"/>
  <c r="S53" i="17"/>
  <c r="T52" i="17"/>
  <c r="S52" i="17"/>
  <c r="T51" i="17"/>
  <c r="S51" i="17"/>
  <c r="T50" i="17"/>
  <c r="S50" i="17"/>
  <c r="T49" i="17"/>
  <c r="S49" i="17"/>
  <c r="T48" i="17"/>
  <c r="S48" i="17"/>
  <c r="T47" i="17"/>
  <c r="S47" i="17"/>
  <c r="T46" i="17"/>
  <c r="S46" i="17"/>
  <c r="T45" i="17"/>
  <c r="S45" i="17"/>
  <c r="T44" i="17"/>
  <c r="S44" i="17"/>
  <c r="T43" i="17"/>
  <c r="S43" i="17"/>
  <c r="T42" i="17"/>
  <c r="S42" i="17"/>
  <c r="T41" i="17"/>
  <c r="S41" i="17"/>
  <c r="T40" i="17"/>
  <c r="S40" i="17"/>
  <c r="T39" i="17"/>
  <c r="S39" i="17"/>
  <c r="T38" i="17"/>
  <c r="S38" i="17"/>
  <c r="T37" i="17"/>
  <c r="S37" i="17"/>
  <c r="T36" i="17"/>
  <c r="S36" i="17"/>
  <c r="T35" i="17"/>
  <c r="S35" i="17"/>
  <c r="T34" i="17"/>
  <c r="S34" i="17"/>
  <c r="T33" i="17"/>
  <c r="S33" i="17"/>
  <c r="T32" i="17"/>
  <c r="S32" i="17"/>
  <c r="T31" i="17"/>
  <c r="S31" i="17"/>
  <c r="T30" i="17"/>
  <c r="S30" i="17"/>
  <c r="T29" i="17"/>
  <c r="S29" i="17"/>
  <c r="T28" i="17"/>
  <c r="S28" i="17"/>
  <c r="T27" i="17"/>
  <c r="S27" i="17"/>
  <c r="T26" i="17"/>
  <c r="S26" i="17"/>
  <c r="T25" i="17"/>
  <c r="S25" i="17"/>
  <c r="T24" i="17"/>
  <c r="S24" i="17"/>
  <c r="T23" i="17"/>
  <c r="S23" i="17"/>
  <c r="T22" i="17"/>
  <c r="S22" i="17"/>
  <c r="T21" i="17"/>
  <c r="S21" i="17"/>
  <c r="T20" i="17"/>
  <c r="S20" i="17"/>
  <c r="T19" i="17"/>
  <c r="S19" i="17"/>
  <c r="T18" i="17"/>
  <c r="S18" i="17"/>
  <c r="T17" i="17"/>
  <c r="S17" i="17"/>
  <c r="T16" i="17"/>
  <c r="S16" i="17"/>
  <c r="T15" i="17"/>
  <c r="S15" i="17"/>
  <c r="T14" i="17"/>
  <c r="S14" i="17"/>
  <c r="T13" i="17"/>
  <c r="S13" i="17"/>
  <c r="T12" i="17"/>
  <c r="S12" i="17"/>
  <c r="T11" i="17"/>
  <c r="S11" i="17"/>
  <c r="T10" i="17"/>
  <c r="S10" i="17"/>
  <c r="T9" i="17"/>
  <c r="S9" i="17"/>
  <c r="T8" i="17"/>
  <c r="S8" i="17"/>
  <c r="T7" i="17"/>
  <c r="S7" i="17"/>
  <c r="T6" i="17"/>
  <c r="S6" i="17"/>
  <c r="T5" i="17"/>
  <c r="S5" i="17"/>
  <c r="T4" i="17"/>
  <c r="S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Gatt, Kyle P (DFG)</author>
  </authors>
  <commentList>
    <comment ref="B59" authorId="0" shapeId="0" xr:uid="{D1D93295-6AF8-480E-AC1A-F52DD321E6E5}">
      <text>
        <r>
          <rPr>
            <b/>
            <sz val="9"/>
            <color indexed="81"/>
            <rFont val="Tahoma"/>
            <family val="2"/>
          </rPr>
          <t>Gatt, Kyle P (DFG):</t>
        </r>
        <r>
          <rPr>
            <sz val="9"/>
            <color indexed="81"/>
            <rFont val="Tahoma"/>
            <family val="2"/>
          </rPr>
          <t xml:space="preserve">
Sonar passage estimate</t>
        </r>
      </text>
    </comment>
  </commentList>
</comments>
</file>

<file path=xl/sharedStrings.xml><?xml version="1.0" encoding="utf-8"?>
<sst xmlns="http://schemas.openxmlformats.org/spreadsheetml/2006/main" count="10" uniqueCount="10">
  <si>
    <t>R/S</t>
  </si>
  <si>
    <t>Age Class</t>
  </si>
  <si>
    <t>Yield</t>
  </si>
  <si>
    <t>Spawners</t>
  </si>
  <si>
    <t>Brood.Year</t>
  </si>
  <si>
    <t>GSI</t>
  </si>
  <si>
    <t>Don’t use</t>
  </si>
  <si>
    <t>Total Run</t>
  </si>
  <si>
    <t>Total Return</t>
  </si>
  <si>
    <t>Kasilof River Sockeye brood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</si>
</sst>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23">
    <xf numFmtId="0" fontId="0" fillId="0" borderId="0" xfId="0"/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4" borderId="0" xfId="0" applyFont="1" applyFill="1"/>
    <xf numFmtId="164" fontId="8" fillId="4" borderId="0" xfId="0" applyNumberFormat="1" applyFont="1" applyFill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8" fillId="5" borderId="0" xfId="0" applyFont="1" applyFill="1"/>
    <xf numFmtId="1" fontId="8" fillId="4" borderId="0" xfId="0" applyNumberFormat="1" applyFont="1" applyFill="1"/>
    <xf numFmtId="1" fontId="8" fillId="0" borderId="0" xfId="0" applyNumberFormat="1" applyFont="1"/>
    <xf numFmtId="1" fontId="8" fillId="0" borderId="0" xfId="0" applyNumberFormat="1" applyFont="1" applyAlignment="1">
      <alignment horizontal="right" vertical="center"/>
    </xf>
    <xf numFmtId="1" fontId="3" fillId="0" borderId="0" xfId="0" applyNumberFormat="1" applyFont="1"/>
    <xf numFmtId="1" fontId="3" fillId="5" borderId="0" xfId="1" applyNumberFormat="1" applyFont="1" applyFill="1"/>
    <xf numFmtId="1" fontId="3" fillId="5" borderId="0" xfId="1" applyNumberFormat="1" applyFont="1" applyFill="1" applyAlignment="1">
      <alignment horizontal="right"/>
    </xf>
    <xf numFmtId="1" fontId="3" fillId="5" borderId="0" xfId="2" applyNumberFormat="1" applyFont="1" applyFill="1"/>
    <xf numFmtId="1" fontId="3" fillId="5" borderId="0" xfId="0" applyNumberFormat="1" applyFont="1" applyFill="1"/>
    <xf numFmtId="0" fontId="1" fillId="0" borderId="0" xfId="0" applyFont="1"/>
    <xf numFmtId="1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66FF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tabSelected="1"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17" sqref="U17"/>
    </sheetView>
  </sheetViews>
  <sheetFormatPr defaultRowHeight="12.75" x14ac:dyDescent="0.2"/>
  <cols>
    <col min="1" max="1" width="13.42578125" style="18" customWidth="1"/>
    <col min="2" max="2" width="14" style="18" bestFit="1" customWidth="1"/>
    <col min="3" max="3" width="9.28515625" style="18" bestFit="1" customWidth="1"/>
    <col min="4" max="4" width="9.85546875" style="18" bestFit="1" customWidth="1"/>
    <col min="5" max="5" width="9.28515625" style="18" bestFit="1" customWidth="1"/>
    <col min="6" max="6" width="11" style="18" bestFit="1" customWidth="1"/>
    <col min="7" max="7" width="9.85546875" style="18" bestFit="1" customWidth="1"/>
    <col min="8" max="8" width="9.28515625" style="18" bestFit="1" customWidth="1"/>
    <col min="9" max="10" width="11" style="18" bestFit="1" customWidth="1"/>
    <col min="11" max="12" width="9.28515625" style="18" bestFit="1" customWidth="1"/>
    <col min="13" max="13" width="11" style="18" bestFit="1" customWidth="1"/>
    <col min="14" max="16" width="9.28515625" style="18" bestFit="1" customWidth="1"/>
    <col min="17" max="19" width="12.140625" style="18" bestFit="1" customWidth="1"/>
    <col min="20" max="20" width="9.140625" style="18"/>
  </cols>
  <sheetData>
    <row r="1" spans="1:20" x14ac:dyDescent="0.2">
      <c r="A1" s="18" t="s">
        <v>9</v>
      </c>
    </row>
    <row r="2" spans="1:20" x14ac:dyDescent="0.2">
      <c r="A2" s="21"/>
      <c r="B2" s="21"/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1"/>
      <c r="R2" s="21"/>
      <c r="S2" s="21"/>
      <c r="T2" s="21"/>
    </row>
    <row r="3" spans="1:20" ht="15" x14ac:dyDescent="0.25">
      <c r="A3" s="1" t="s">
        <v>4</v>
      </c>
      <c r="B3" s="1" t="s">
        <v>3</v>
      </c>
      <c r="C3" s="20">
        <v>0.1</v>
      </c>
      <c r="D3" s="20">
        <v>1.1000000000000001</v>
      </c>
      <c r="E3" s="20">
        <v>0.3</v>
      </c>
      <c r="F3" s="20">
        <v>1.2</v>
      </c>
      <c r="G3" s="20">
        <v>2.1</v>
      </c>
      <c r="H3" s="20">
        <v>0.4</v>
      </c>
      <c r="I3" s="20">
        <v>1.3</v>
      </c>
      <c r="J3" s="20">
        <v>2.2000000000000002</v>
      </c>
      <c r="K3" s="20">
        <v>3.1</v>
      </c>
      <c r="L3" s="20">
        <v>1.4</v>
      </c>
      <c r="M3" s="20">
        <v>2.2999999999999998</v>
      </c>
      <c r="N3" s="20">
        <v>3.2</v>
      </c>
      <c r="O3" s="20">
        <v>2.4</v>
      </c>
      <c r="P3" s="20">
        <v>3.3</v>
      </c>
      <c r="Q3" s="2" t="s">
        <v>7</v>
      </c>
      <c r="R3" s="3" t="s">
        <v>8</v>
      </c>
      <c r="S3" s="3" t="s">
        <v>2</v>
      </c>
      <c r="T3" s="3" t="s">
        <v>0</v>
      </c>
    </row>
    <row r="4" spans="1:20" ht="15" x14ac:dyDescent="0.25">
      <c r="A4" s="4">
        <v>1968</v>
      </c>
      <c r="B4" s="10">
        <v>90958</v>
      </c>
      <c r="C4" s="10">
        <v>0</v>
      </c>
      <c r="D4" s="10">
        <v>0</v>
      </c>
      <c r="E4" s="10">
        <v>0</v>
      </c>
      <c r="F4" s="10">
        <v>86418</v>
      </c>
      <c r="G4" s="10">
        <v>115</v>
      </c>
      <c r="H4" s="10">
        <v>0</v>
      </c>
      <c r="I4" s="10">
        <v>42653</v>
      </c>
      <c r="J4" s="10">
        <v>14079</v>
      </c>
      <c r="K4" s="10">
        <v>0</v>
      </c>
      <c r="L4" s="10">
        <v>0</v>
      </c>
      <c r="M4" s="10">
        <v>2588</v>
      </c>
      <c r="N4" s="10">
        <v>0</v>
      </c>
      <c r="O4" s="10">
        <v>0</v>
      </c>
      <c r="P4" s="10">
        <v>0</v>
      </c>
      <c r="Q4" s="10"/>
      <c r="R4" s="10">
        <f t="shared" ref="R4:R41" si="0">SUM(C4:P4)</f>
        <v>145853</v>
      </c>
      <c r="S4" s="10">
        <f>R4-B4</f>
        <v>54895</v>
      </c>
      <c r="T4" s="5">
        <f>R4/B4</f>
        <v>1.6035203060753316</v>
      </c>
    </row>
    <row r="5" spans="1:20" ht="15" x14ac:dyDescent="0.25">
      <c r="A5" s="4">
        <v>1969</v>
      </c>
      <c r="B5" s="10">
        <v>46964.264150943396</v>
      </c>
      <c r="C5" s="10">
        <v>0</v>
      </c>
      <c r="D5" s="10">
        <v>231</v>
      </c>
      <c r="E5" s="10">
        <v>0</v>
      </c>
      <c r="F5" s="10">
        <v>12833</v>
      </c>
      <c r="G5" s="10">
        <v>204</v>
      </c>
      <c r="H5" s="10">
        <v>0</v>
      </c>
      <c r="I5" s="10">
        <v>85255</v>
      </c>
      <c r="J5" s="10">
        <v>6389</v>
      </c>
      <c r="K5" s="10">
        <v>0</v>
      </c>
      <c r="L5" s="10">
        <v>0</v>
      </c>
      <c r="M5" s="10">
        <v>5484</v>
      </c>
      <c r="N5" s="10">
        <v>0</v>
      </c>
      <c r="O5" s="10">
        <v>522</v>
      </c>
      <c r="P5" s="10">
        <v>0</v>
      </c>
      <c r="Q5" s="10"/>
      <c r="R5" s="10">
        <f t="shared" si="0"/>
        <v>110918</v>
      </c>
      <c r="S5" s="10">
        <f t="shared" ref="S5:S53" si="1">R5-B5</f>
        <v>63953.735849056604</v>
      </c>
      <c r="T5" s="5">
        <f t="shared" ref="T5:T60" si="2">R5/B5</f>
        <v>2.3617531756381607</v>
      </c>
    </row>
    <row r="6" spans="1:20" ht="15" x14ac:dyDescent="0.25">
      <c r="A6" s="4">
        <v>1970</v>
      </c>
      <c r="B6" s="10">
        <v>38796.566037735851</v>
      </c>
      <c r="C6" s="10">
        <v>0</v>
      </c>
      <c r="D6" s="10">
        <v>0</v>
      </c>
      <c r="E6" s="10">
        <v>0</v>
      </c>
      <c r="F6" s="10">
        <v>38507</v>
      </c>
      <c r="G6" s="10">
        <v>299</v>
      </c>
      <c r="H6" s="10">
        <v>0</v>
      </c>
      <c r="I6" s="10">
        <v>8744</v>
      </c>
      <c r="J6" s="10">
        <v>69392</v>
      </c>
      <c r="K6" s="10">
        <v>0</v>
      </c>
      <c r="L6" s="10">
        <v>0</v>
      </c>
      <c r="M6" s="10">
        <v>51297</v>
      </c>
      <c r="N6" s="10">
        <v>0</v>
      </c>
      <c r="O6" s="10">
        <v>0</v>
      </c>
      <c r="P6" s="10">
        <v>0</v>
      </c>
      <c r="Q6" s="10"/>
      <c r="R6" s="10">
        <f t="shared" si="0"/>
        <v>168239</v>
      </c>
      <c r="S6" s="10">
        <f t="shared" si="1"/>
        <v>129442.43396226416</v>
      </c>
      <c r="T6" s="5">
        <f t="shared" si="2"/>
        <v>4.3364404941499393</v>
      </c>
    </row>
    <row r="7" spans="1:20" ht="15" x14ac:dyDescent="0.25">
      <c r="A7" s="4">
        <v>1971</v>
      </c>
      <c r="B7" s="10">
        <v>91886.603773584895</v>
      </c>
      <c r="C7" s="10">
        <v>0</v>
      </c>
      <c r="D7" s="10">
        <v>0</v>
      </c>
      <c r="E7" s="10">
        <v>0</v>
      </c>
      <c r="F7" s="10">
        <v>36811</v>
      </c>
      <c r="G7" s="10">
        <v>268</v>
      </c>
      <c r="H7" s="10">
        <v>0</v>
      </c>
      <c r="I7" s="10">
        <v>107438</v>
      </c>
      <c r="J7" s="10">
        <v>101308</v>
      </c>
      <c r="K7" s="10">
        <v>0</v>
      </c>
      <c r="L7" s="10">
        <v>0</v>
      </c>
      <c r="M7" s="10">
        <v>49258</v>
      </c>
      <c r="N7" s="10">
        <v>0</v>
      </c>
      <c r="O7" s="10">
        <v>0</v>
      </c>
      <c r="P7" s="10">
        <v>0</v>
      </c>
      <c r="Q7" s="10"/>
      <c r="R7" s="10">
        <f t="shared" si="0"/>
        <v>295083</v>
      </c>
      <c r="S7" s="10">
        <f t="shared" si="1"/>
        <v>203196.39622641512</v>
      </c>
      <c r="T7" s="5">
        <f t="shared" si="2"/>
        <v>3.2113821588956037</v>
      </c>
    </row>
    <row r="8" spans="1:20" ht="15" x14ac:dyDescent="0.25">
      <c r="A8" s="4">
        <v>1972</v>
      </c>
      <c r="B8" s="10">
        <v>115486</v>
      </c>
      <c r="C8" s="10">
        <v>49</v>
      </c>
      <c r="D8" s="10">
        <v>494</v>
      </c>
      <c r="E8" s="10">
        <v>0</v>
      </c>
      <c r="F8" s="10">
        <v>115995</v>
      </c>
      <c r="G8" s="10">
        <v>0</v>
      </c>
      <c r="H8" s="10">
        <v>0</v>
      </c>
      <c r="I8" s="10">
        <v>103393</v>
      </c>
      <c r="J8" s="10">
        <v>114377</v>
      </c>
      <c r="K8" s="10">
        <v>0</v>
      </c>
      <c r="L8" s="10">
        <v>0</v>
      </c>
      <c r="M8" s="10">
        <v>38332</v>
      </c>
      <c r="N8" s="10">
        <v>0</v>
      </c>
      <c r="O8" s="10">
        <v>0</v>
      </c>
      <c r="P8" s="10">
        <v>0</v>
      </c>
      <c r="Q8" s="10"/>
      <c r="R8" s="10">
        <f t="shared" si="0"/>
        <v>372640</v>
      </c>
      <c r="S8" s="10">
        <f t="shared" si="1"/>
        <v>257154</v>
      </c>
      <c r="T8" s="5">
        <f t="shared" si="2"/>
        <v>3.2267114628612994</v>
      </c>
    </row>
    <row r="9" spans="1:20" ht="15" x14ac:dyDescent="0.25">
      <c r="A9" s="4">
        <v>1973</v>
      </c>
      <c r="B9" s="10">
        <v>40880</v>
      </c>
      <c r="C9" s="10">
        <v>0</v>
      </c>
      <c r="D9" s="10">
        <v>473</v>
      </c>
      <c r="E9" s="10">
        <v>0</v>
      </c>
      <c r="F9" s="10">
        <v>119001</v>
      </c>
      <c r="G9" s="10">
        <v>2433</v>
      </c>
      <c r="H9" s="10">
        <v>0</v>
      </c>
      <c r="I9" s="10">
        <v>176558</v>
      </c>
      <c r="J9" s="10">
        <v>38748</v>
      </c>
      <c r="K9" s="10">
        <v>0</v>
      </c>
      <c r="L9" s="10">
        <v>0</v>
      </c>
      <c r="M9" s="10">
        <v>4521</v>
      </c>
      <c r="N9" s="10">
        <v>0</v>
      </c>
      <c r="O9" s="10">
        <v>0</v>
      </c>
      <c r="P9" s="10">
        <v>0</v>
      </c>
      <c r="Q9" s="10"/>
      <c r="R9" s="10">
        <f t="shared" si="0"/>
        <v>341734</v>
      </c>
      <c r="S9" s="10">
        <f t="shared" si="1"/>
        <v>300854</v>
      </c>
      <c r="T9" s="5">
        <f t="shared" si="2"/>
        <v>8.3594422700587092</v>
      </c>
    </row>
    <row r="10" spans="1:20" ht="15" x14ac:dyDescent="0.25">
      <c r="A10" s="4">
        <v>1974</v>
      </c>
      <c r="B10" s="10">
        <v>71540</v>
      </c>
      <c r="C10" s="10">
        <v>0</v>
      </c>
      <c r="D10" s="10">
        <v>2753</v>
      </c>
      <c r="E10" s="10">
        <v>0</v>
      </c>
      <c r="F10" s="10">
        <v>206299</v>
      </c>
      <c r="G10" s="10">
        <v>0</v>
      </c>
      <c r="H10" s="10">
        <v>0</v>
      </c>
      <c r="I10" s="10">
        <v>80966</v>
      </c>
      <c r="J10" s="10">
        <v>34636</v>
      </c>
      <c r="K10" s="10">
        <v>0</v>
      </c>
      <c r="L10" s="10">
        <v>1350</v>
      </c>
      <c r="M10" s="10">
        <v>16890</v>
      </c>
      <c r="N10" s="10">
        <v>0</v>
      </c>
      <c r="O10" s="10">
        <v>0</v>
      </c>
      <c r="P10" s="10">
        <v>0</v>
      </c>
      <c r="Q10" s="10"/>
      <c r="R10" s="10">
        <f t="shared" si="0"/>
        <v>342894</v>
      </c>
      <c r="S10" s="10">
        <f t="shared" si="1"/>
        <v>271354</v>
      </c>
      <c r="T10" s="5">
        <f t="shared" si="2"/>
        <v>4.7930388593793678</v>
      </c>
    </row>
    <row r="11" spans="1:20" ht="15" x14ac:dyDescent="0.25">
      <c r="A11" s="4">
        <v>1975</v>
      </c>
      <c r="B11" s="10">
        <v>48884</v>
      </c>
      <c r="C11" s="10">
        <v>0</v>
      </c>
      <c r="D11" s="10">
        <v>0</v>
      </c>
      <c r="E11" s="10">
        <v>0</v>
      </c>
      <c r="F11" s="10">
        <v>180735</v>
      </c>
      <c r="G11" s="10">
        <v>0</v>
      </c>
      <c r="H11" s="10">
        <v>0</v>
      </c>
      <c r="I11" s="10">
        <v>111456</v>
      </c>
      <c r="J11" s="10">
        <v>20631</v>
      </c>
      <c r="K11" s="10">
        <v>0</v>
      </c>
      <c r="L11" s="10">
        <v>0</v>
      </c>
      <c r="M11" s="10">
        <v>8674</v>
      </c>
      <c r="N11" s="10">
        <v>0</v>
      </c>
      <c r="O11" s="10">
        <v>0</v>
      </c>
      <c r="P11" s="10">
        <v>0</v>
      </c>
      <c r="Q11" s="10">
        <f t="shared" ref="Q11:Q58" si="3">SUM(O4:P4,L5:N5,H6:K6,E7:G7,C8:D8)</f>
        <v>121242</v>
      </c>
      <c r="R11" s="10">
        <f t="shared" si="0"/>
        <v>321496</v>
      </c>
      <c r="S11" s="10">
        <f t="shared" si="1"/>
        <v>272612</v>
      </c>
      <c r="T11" s="5">
        <f t="shared" si="2"/>
        <v>6.5767122166762126</v>
      </c>
    </row>
    <row r="12" spans="1:20" ht="15" x14ac:dyDescent="0.25">
      <c r="A12" s="4">
        <v>1976</v>
      </c>
      <c r="B12" s="10">
        <v>142058</v>
      </c>
      <c r="C12" s="10">
        <v>440</v>
      </c>
      <c r="D12" s="10">
        <v>1801</v>
      </c>
      <c r="E12" s="10">
        <v>0</v>
      </c>
      <c r="F12" s="10">
        <v>246019</v>
      </c>
      <c r="G12" s="10">
        <v>0</v>
      </c>
      <c r="H12" s="10">
        <v>0</v>
      </c>
      <c r="I12" s="10">
        <v>368002</v>
      </c>
      <c r="J12" s="10">
        <v>33921</v>
      </c>
      <c r="K12" s="10">
        <v>0</v>
      </c>
      <c r="L12" s="10">
        <v>0</v>
      </c>
      <c r="M12" s="10">
        <v>41339</v>
      </c>
      <c r="N12" s="10">
        <v>0</v>
      </c>
      <c r="O12" s="10">
        <v>0</v>
      </c>
      <c r="P12" s="10">
        <v>0</v>
      </c>
      <c r="Q12" s="10">
        <f t="shared" si="3"/>
        <v>377033</v>
      </c>
      <c r="R12" s="10">
        <f t="shared" si="0"/>
        <v>691522</v>
      </c>
      <c r="S12" s="10">
        <f t="shared" si="1"/>
        <v>549464</v>
      </c>
      <c r="T12" s="5">
        <f t="shared" si="2"/>
        <v>4.8678849484013575</v>
      </c>
    </row>
    <row r="13" spans="1:20" ht="15" x14ac:dyDescent="0.25">
      <c r="A13" s="4">
        <v>1977</v>
      </c>
      <c r="B13" s="10">
        <v>158410</v>
      </c>
      <c r="C13" s="10">
        <v>0</v>
      </c>
      <c r="D13" s="10">
        <v>4087</v>
      </c>
      <c r="E13" s="10">
        <v>0</v>
      </c>
      <c r="F13" s="10">
        <v>149175</v>
      </c>
      <c r="G13" s="10">
        <v>0</v>
      </c>
      <c r="H13" s="10">
        <v>0</v>
      </c>
      <c r="I13" s="10">
        <v>358213</v>
      </c>
      <c r="J13" s="10">
        <v>51526</v>
      </c>
      <c r="K13" s="10">
        <v>0</v>
      </c>
      <c r="L13" s="10">
        <v>0</v>
      </c>
      <c r="M13" s="10">
        <v>46725</v>
      </c>
      <c r="N13" s="10">
        <v>0</v>
      </c>
      <c r="O13" s="10">
        <v>0</v>
      </c>
      <c r="P13" s="10">
        <v>0</v>
      </c>
      <c r="Q13" s="10">
        <f t="shared" si="3"/>
        <v>391215</v>
      </c>
      <c r="R13" s="10">
        <f t="shared" si="0"/>
        <v>609726</v>
      </c>
      <c r="S13" s="10">
        <f t="shared" si="1"/>
        <v>451316</v>
      </c>
      <c r="T13" s="5">
        <f t="shared" si="2"/>
        <v>3.8490373082507419</v>
      </c>
    </row>
    <row r="14" spans="1:20" ht="15" x14ac:dyDescent="0.25">
      <c r="A14" s="4">
        <v>1978</v>
      </c>
      <c r="B14" s="10">
        <v>119165</v>
      </c>
      <c r="C14" s="10">
        <v>0</v>
      </c>
      <c r="D14" s="10">
        <v>0</v>
      </c>
      <c r="E14" s="10">
        <v>0</v>
      </c>
      <c r="F14" s="10">
        <v>172022</v>
      </c>
      <c r="G14" s="10">
        <v>465</v>
      </c>
      <c r="H14" s="10">
        <v>0</v>
      </c>
      <c r="I14" s="10">
        <v>364328</v>
      </c>
      <c r="J14" s="10">
        <v>104561</v>
      </c>
      <c r="K14" s="10">
        <v>0</v>
      </c>
      <c r="L14" s="10">
        <v>0</v>
      </c>
      <c r="M14" s="10">
        <v>53261</v>
      </c>
      <c r="N14" s="10">
        <v>0</v>
      </c>
      <c r="O14" s="10">
        <v>0</v>
      </c>
      <c r="P14" s="10">
        <v>0</v>
      </c>
      <c r="Q14" s="10">
        <f t="shared" si="3"/>
        <v>459937</v>
      </c>
      <c r="R14" s="10">
        <f t="shared" si="0"/>
        <v>694637</v>
      </c>
      <c r="S14" s="10">
        <f t="shared" si="1"/>
        <v>575472</v>
      </c>
      <c r="T14" s="5">
        <f t="shared" si="2"/>
        <v>5.8292032056392395</v>
      </c>
    </row>
    <row r="15" spans="1:20" ht="15" x14ac:dyDescent="0.25">
      <c r="A15" s="4">
        <v>1979</v>
      </c>
      <c r="B15" s="10">
        <v>155527</v>
      </c>
      <c r="C15" s="10">
        <v>0</v>
      </c>
      <c r="D15" s="10">
        <v>2464</v>
      </c>
      <c r="E15" s="10">
        <v>0</v>
      </c>
      <c r="F15" s="10">
        <v>407157</v>
      </c>
      <c r="G15" s="10">
        <v>0</v>
      </c>
      <c r="H15" s="10">
        <v>0</v>
      </c>
      <c r="I15" s="10">
        <v>204448</v>
      </c>
      <c r="J15" s="10">
        <v>111795</v>
      </c>
      <c r="K15" s="10">
        <v>0</v>
      </c>
      <c r="L15" s="10">
        <v>2933</v>
      </c>
      <c r="M15" s="10">
        <v>52405</v>
      </c>
      <c r="N15" s="10">
        <v>0</v>
      </c>
      <c r="O15" s="10">
        <v>1198</v>
      </c>
      <c r="P15" s="10">
        <v>0</v>
      </c>
      <c r="Q15" s="10">
        <f t="shared" si="3"/>
        <v>303099</v>
      </c>
      <c r="R15" s="10">
        <f t="shared" si="0"/>
        <v>782400</v>
      </c>
      <c r="S15" s="10">
        <f t="shared" si="1"/>
        <v>626873</v>
      </c>
      <c r="T15" s="5">
        <f t="shared" si="2"/>
        <v>5.0306377670758131</v>
      </c>
    </row>
    <row r="16" spans="1:20" ht="15" x14ac:dyDescent="0.25">
      <c r="A16" s="4">
        <v>1980</v>
      </c>
      <c r="B16" s="10">
        <v>188314</v>
      </c>
      <c r="C16" s="10">
        <v>0</v>
      </c>
      <c r="D16" s="10">
        <v>0</v>
      </c>
      <c r="E16" s="10">
        <v>0</v>
      </c>
      <c r="F16" s="10">
        <v>263580</v>
      </c>
      <c r="G16" s="10">
        <v>576</v>
      </c>
      <c r="H16" s="10">
        <v>0</v>
      </c>
      <c r="I16" s="10">
        <v>484494</v>
      </c>
      <c r="J16" s="10">
        <v>257918</v>
      </c>
      <c r="K16" s="10">
        <v>0</v>
      </c>
      <c r="L16" s="10">
        <v>3499</v>
      </c>
      <c r="M16" s="10">
        <v>71037</v>
      </c>
      <c r="N16" s="10">
        <v>0</v>
      </c>
      <c r="O16" s="10">
        <v>0</v>
      </c>
      <c r="P16" s="10">
        <v>0</v>
      </c>
      <c r="Q16" s="10">
        <f t="shared" si="3"/>
        <v>400433</v>
      </c>
      <c r="R16" s="10">
        <f t="shared" si="0"/>
        <v>1081104</v>
      </c>
      <c r="S16" s="10">
        <f t="shared" si="1"/>
        <v>892790</v>
      </c>
      <c r="T16" s="5">
        <f t="shared" si="2"/>
        <v>5.7409645591936869</v>
      </c>
    </row>
    <row r="17" spans="1:20" ht="15" x14ac:dyDescent="0.25">
      <c r="A17" s="4">
        <v>1981</v>
      </c>
      <c r="B17" s="10">
        <v>262271</v>
      </c>
      <c r="C17" s="10">
        <v>0</v>
      </c>
      <c r="D17" s="10">
        <v>0</v>
      </c>
      <c r="E17" s="10">
        <v>0</v>
      </c>
      <c r="F17" s="10">
        <v>853482</v>
      </c>
      <c r="G17" s="10">
        <v>1740</v>
      </c>
      <c r="H17" s="10">
        <v>0</v>
      </c>
      <c r="I17" s="10">
        <v>678387</v>
      </c>
      <c r="J17" s="10">
        <v>219784</v>
      </c>
      <c r="K17" s="10">
        <v>0</v>
      </c>
      <c r="L17" s="10">
        <v>0</v>
      </c>
      <c r="M17" s="10">
        <v>94814</v>
      </c>
      <c r="N17" s="10">
        <v>234</v>
      </c>
      <c r="O17" s="10">
        <v>2488</v>
      </c>
      <c r="P17" s="10">
        <v>0</v>
      </c>
      <c r="Q17" s="10">
        <f t="shared" si="3"/>
        <v>559772</v>
      </c>
      <c r="R17" s="10">
        <f t="shared" si="0"/>
        <v>1850929</v>
      </c>
      <c r="S17" s="10">
        <f t="shared" si="1"/>
        <v>1588658</v>
      </c>
      <c r="T17" s="5">
        <f t="shared" si="2"/>
        <v>7.0573147622116057</v>
      </c>
    </row>
    <row r="18" spans="1:20" ht="15" x14ac:dyDescent="0.25">
      <c r="A18" s="4">
        <v>1982</v>
      </c>
      <c r="B18" s="10">
        <v>184204</v>
      </c>
      <c r="C18" s="10">
        <v>0</v>
      </c>
      <c r="D18" s="10">
        <v>2185</v>
      </c>
      <c r="E18" s="10">
        <v>0</v>
      </c>
      <c r="F18" s="10">
        <v>529350</v>
      </c>
      <c r="G18" s="10">
        <v>266</v>
      </c>
      <c r="H18" s="10">
        <v>0</v>
      </c>
      <c r="I18" s="10">
        <v>342715</v>
      </c>
      <c r="J18" s="10">
        <v>264940</v>
      </c>
      <c r="K18" s="10">
        <v>0</v>
      </c>
      <c r="L18" s="10">
        <v>1714</v>
      </c>
      <c r="M18" s="10">
        <v>140691</v>
      </c>
      <c r="N18" s="10">
        <v>0</v>
      </c>
      <c r="O18" s="10">
        <v>0</v>
      </c>
      <c r="P18" s="10">
        <v>0</v>
      </c>
      <c r="Q18" s="10">
        <f t="shared" si="3"/>
        <v>626029</v>
      </c>
      <c r="R18" s="10">
        <f t="shared" si="0"/>
        <v>1281861</v>
      </c>
      <c r="S18" s="10">
        <f t="shared" si="1"/>
        <v>1097657</v>
      </c>
      <c r="T18" s="5">
        <f t="shared" si="2"/>
        <v>6.9589205446135809</v>
      </c>
    </row>
    <row r="19" spans="1:20" ht="15" x14ac:dyDescent="0.25">
      <c r="A19" s="6">
        <v>1983</v>
      </c>
      <c r="B19" s="11">
        <v>215730</v>
      </c>
      <c r="C19" s="11">
        <v>747</v>
      </c>
      <c r="D19" s="11">
        <v>0</v>
      </c>
      <c r="E19" s="11">
        <v>0</v>
      </c>
      <c r="F19" s="11">
        <v>345918</v>
      </c>
      <c r="G19" s="11">
        <v>482</v>
      </c>
      <c r="H19" s="11">
        <v>0</v>
      </c>
      <c r="I19" s="11">
        <v>352739</v>
      </c>
      <c r="J19" s="11">
        <v>238804</v>
      </c>
      <c r="K19" s="11">
        <v>0</v>
      </c>
      <c r="L19" s="11">
        <v>239</v>
      </c>
      <c r="M19" s="11">
        <v>64100</v>
      </c>
      <c r="N19" s="11">
        <v>0</v>
      </c>
      <c r="O19" s="11">
        <v>0</v>
      </c>
      <c r="P19" s="11">
        <v>0</v>
      </c>
      <c r="Q19" s="11">
        <f t="shared" si="3"/>
        <v>922771</v>
      </c>
      <c r="R19" s="11">
        <f t="shared" si="0"/>
        <v>1003029</v>
      </c>
      <c r="S19" s="11">
        <f t="shared" si="1"/>
        <v>787299</v>
      </c>
      <c r="T19" s="8">
        <f t="shared" si="2"/>
        <v>4.6494646085384508</v>
      </c>
    </row>
    <row r="20" spans="1:20" ht="15" x14ac:dyDescent="0.25">
      <c r="A20" s="6">
        <v>1984</v>
      </c>
      <c r="B20" s="11">
        <v>238413</v>
      </c>
      <c r="C20" s="11">
        <v>0</v>
      </c>
      <c r="D20" s="11">
        <v>702</v>
      </c>
      <c r="E20" s="11">
        <v>0</v>
      </c>
      <c r="F20" s="11">
        <v>255320</v>
      </c>
      <c r="G20" s="11">
        <v>380</v>
      </c>
      <c r="H20" s="11">
        <v>0</v>
      </c>
      <c r="I20" s="11">
        <v>160754</v>
      </c>
      <c r="J20" s="11">
        <v>248894</v>
      </c>
      <c r="K20" s="11">
        <v>0</v>
      </c>
      <c r="L20" s="11">
        <v>1444</v>
      </c>
      <c r="M20" s="11">
        <v>88707</v>
      </c>
      <c r="N20" s="11">
        <v>915</v>
      </c>
      <c r="O20" s="11">
        <v>0</v>
      </c>
      <c r="P20" s="11">
        <v>0</v>
      </c>
      <c r="Q20" s="11">
        <f t="shared" si="3"/>
        <v>633660</v>
      </c>
      <c r="R20" s="11">
        <f t="shared" si="0"/>
        <v>757116</v>
      </c>
      <c r="S20" s="11">
        <f t="shared" si="1"/>
        <v>518703</v>
      </c>
      <c r="T20" s="8">
        <f t="shared" si="2"/>
        <v>3.1756489788727964</v>
      </c>
    </row>
    <row r="21" spans="1:20" ht="15" x14ac:dyDescent="0.25">
      <c r="A21" s="6">
        <v>1985</v>
      </c>
      <c r="B21" s="11">
        <v>512827</v>
      </c>
      <c r="C21" s="11">
        <v>0</v>
      </c>
      <c r="D21" s="11">
        <v>142</v>
      </c>
      <c r="E21" s="11">
        <v>0</v>
      </c>
      <c r="F21" s="11">
        <v>60918</v>
      </c>
      <c r="G21" s="11">
        <v>126</v>
      </c>
      <c r="H21" s="11">
        <v>0</v>
      </c>
      <c r="I21" s="11">
        <v>130690</v>
      </c>
      <c r="J21" s="11">
        <v>120940</v>
      </c>
      <c r="K21" s="11">
        <v>0</v>
      </c>
      <c r="L21" s="11">
        <v>762</v>
      </c>
      <c r="M21" s="11">
        <v>49327</v>
      </c>
      <c r="N21" s="11">
        <v>0</v>
      </c>
      <c r="O21" s="11">
        <v>0</v>
      </c>
      <c r="P21" s="11">
        <v>0</v>
      </c>
      <c r="Q21" s="11">
        <f t="shared" si="3"/>
        <v>1655157</v>
      </c>
      <c r="R21" s="11">
        <f t="shared" si="0"/>
        <v>362905</v>
      </c>
      <c r="S21" s="11">
        <f>R21-B21</f>
        <v>-149922</v>
      </c>
      <c r="T21" s="8">
        <f t="shared" si="2"/>
        <v>0.70765579815415336</v>
      </c>
    </row>
    <row r="22" spans="1:20" ht="15" x14ac:dyDescent="0.25">
      <c r="A22" s="6">
        <v>1986</v>
      </c>
      <c r="B22" s="11">
        <v>283054</v>
      </c>
      <c r="C22" s="11">
        <v>0</v>
      </c>
      <c r="D22" s="11">
        <v>0</v>
      </c>
      <c r="E22" s="11">
        <v>583</v>
      </c>
      <c r="F22" s="11">
        <v>99638</v>
      </c>
      <c r="G22" s="11">
        <v>0</v>
      </c>
      <c r="H22" s="11">
        <v>0</v>
      </c>
      <c r="I22" s="11">
        <v>230784</v>
      </c>
      <c r="J22" s="11">
        <v>188169</v>
      </c>
      <c r="K22" s="11">
        <v>0</v>
      </c>
      <c r="L22" s="11">
        <v>0</v>
      </c>
      <c r="M22" s="11">
        <v>148945</v>
      </c>
      <c r="N22" s="11">
        <v>0</v>
      </c>
      <c r="O22" s="11">
        <v>0</v>
      </c>
      <c r="P22" s="11">
        <v>0</v>
      </c>
      <c r="Q22" s="11">
        <f t="shared" si="3"/>
        <v>1504268</v>
      </c>
      <c r="R22" s="11">
        <f t="shared" si="0"/>
        <v>668119</v>
      </c>
      <c r="S22" s="11">
        <f t="shared" si="1"/>
        <v>385065</v>
      </c>
      <c r="T22" s="8">
        <f t="shared" si="2"/>
        <v>2.3603941297420281</v>
      </c>
    </row>
    <row r="23" spans="1:20" ht="15" x14ac:dyDescent="0.25">
      <c r="A23" s="6">
        <v>1987</v>
      </c>
      <c r="B23" s="11">
        <v>256707</v>
      </c>
      <c r="C23" s="11">
        <v>0</v>
      </c>
      <c r="D23" s="11">
        <v>641</v>
      </c>
      <c r="E23" s="11">
        <v>768</v>
      </c>
      <c r="F23" s="11">
        <v>132011</v>
      </c>
      <c r="G23" s="11">
        <v>161</v>
      </c>
      <c r="H23" s="11">
        <v>0</v>
      </c>
      <c r="I23" s="11">
        <v>327504</v>
      </c>
      <c r="J23" s="11">
        <v>247266</v>
      </c>
      <c r="K23" s="11">
        <v>0</v>
      </c>
      <c r="L23" s="11">
        <v>0</v>
      </c>
      <c r="M23" s="11">
        <v>173852</v>
      </c>
      <c r="N23" s="11">
        <v>0</v>
      </c>
      <c r="O23" s="11">
        <v>0</v>
      </c>
      <c r="P23" s="11">
        <v>0</v>
      </c>
      <c r="Q23" s="11">
        <f t="shared" si="3"/>
        <v>1049805</v>
      </c>
      <c r="R23" s="11">
        <f t="shared" si="0"/>
        <v>882203</v>
      </c>
      <c r="S23" s="11">
        <f t="shared" si="1"/>
        <v>625496</v>
      </c>
      <c r="T23" s="8">
        <f t="shared" si="2"/>
        <v>3.4366145060321691</v>
      </c>
    </row>
    <row r="24" spans="1:20" ht="15" x14ac:dyDescent="0.25">
      <c r="A24" s="6">
        <v>1988</v>
      </c>
      <c r="B24" s="11">
        <v>204336</v>
      </c>
      <c r="C24" s="11">
        <v>212</v>
      </c>
      <c r="D24" s="11">
        <v>0</v>
      </c>
      <c r="E24" s="11">
        <v>0</v>
      </c>
      <c r="F24" s="11">
        <v>159133</v>
      </c>
      <c r="G24" s="11">
        <v>733</v>
      </c>
      <c r="H24" s="11">
        <v>0</v>
      </c>
      <c r="I24" s="11">
        <v>197095</v>
      </c>
      <c r="J24" s="11">
        <v>172862</v>
      </c>
      <c r="K24" s="11">
        <v>0</v>
      </c>
      <c r="L24" s="11">
        <v>0</v>
      </c>
      <c r="M24" s="11">
        <v>132471</v>
      </c>
      <c r="N24" s="11">
        <v>0</v>
      </c>
      <c r="O24" s="11">
        <v>0</v>
      </c>
      <c r="P24" s="11">
        <v>0</v>
      </c>
      <c r="Q24" s="11">
        <f t="shared" si="3"/>
        <v>992278</v>
      </c>
      <c r="R24" s="11">
        <f t="shared" si="0"/>
        <v>662506</v>
      </c>
      <c r="S24" s="11">
        <f t="shared" si="1"/>
        <v>458170</v>
      </c>
      <c r="T24" s="8">
        <f t="shared" si="2"/>
        <v>3.2422382742150182</v>
      </c>
    </row>
    <row r="25" spans="1:20" ht="15" x14ac:dyDescent="0.25">
      <c r="A25" s="6">
        <v>1989</v>
      </c>
      <c r="B25" s="11">
        <v>164952</v>
      </c>
      <c r="C25" s="11">
        <v>0</v>
      </c>
      <c r="D25" s="11">
        <v>0</v>
      </c>
      <c r="E25" s="11">
        <v>0</v>
      </c>
      <c r="F25" s="11">
        <v>63665</v>
      </c>
      <c r="G25" s="11">
        <v>588</v>
      </c>
      <c r="H25" s="11">
        <v>0</v>
      </c>
      <c r="I25" s="11">
        <v>187733</v>
      </c>
      <c r="J25" s="11">
        <v>144806</v>
      </c>
      <c r="K25" s="11">
        <v>0</v>
      </c>
      <c r="L25" s="11">
        <v>0</v>
      </c>
      <c r="M25" s="11">
        <v>111827</v>
      </c>
      <c r="N25" s="11">
        <v>0</v>
      </c>
      <c r="O25" s="11">
        <v>0</v>
      </c>
      <c r="P25" s="11">
        <v>0</v>
      </c>
      <c r="Q25" s="11">
        <f t="shared" si="3"/>
        <v>535031</v>
      </c>
      <c r="R25" s="11">
        <f t="shared" si="0"/>
        <v>508619</v>
      </c>
      <c r="S25" s="11">
        <f t="shared" si="1"/>
        <v>343667</v>
      </c>
      <c r="T25" s="8">
        <f t="shared" si="2"/>
        <v>3.0834363936175371</v>
      </c>
    </row>
    <row r="26" spans="1:20" ht="15" x14ac:dyDescent="0.25">
      <c r="A26" s="6">
        <v>1990</v>
      </c>
      <c r="B26" s="12">
        <v>147663</v>
      </c>
      <c r="C26" s="11">
        <v>0</v>
      </c>
      <c r="D26" s="11">
        <v>565</v>
      </c>
      <c r="E26" s="11">
        <v>0</v>
      </c>
      <c r="F26" s="11">
        <v>146985</v>
      </c>
      <c r="G26" s="11">
        <v>0</v>
      </c>
      <c r="H26" s="11">
        <v>0</v>
      </c>
      <c r="I26" s="11">
        <v>109223</v>
      </c>
      <c r="J26" s="11">
        <v>173632</v>
      </c>
      <c r="K26" s="11">
        <v>0</v>
      </c>
      <c r="L26" s="11">
        <v>0</v>
      </c>
      <c r="M26" s="11">
        <v>68092</v>
      </c>
      <c r="N26" s="11">
        <v>0</v>
      </c>
      <c r="O26" s="11">
        <v>0</v>
      </c>
      <c r="P26" s="11">
        <v>0</v>
      </c>
      <c r="Q26" s="11">
        <f t="shared" si="3"/>
        <v>443558</v>
      </c>
      <c r="R26" s="11">
        <f t="shared" si="0"/>
        <v>498497</v>
      </c>
      <c r="S26" s="11">
        <f t="shared" si="1"/>
        <v>350834</v>
      </c>
      <c r="T26" s="8">
        <f t="shared" si="2"/>
        <v>3.3759100113095357</v>
      </c>
    </row>
    <row r="27" spans="1:20" ht="15" x14ac:dyDescent="0.25">
      <c r="A27" s="6">
        <v>1991</v>
      </c>
      <c r="B27" s="12">
        <v>233646</v>
      </c>
      <c r="C27" s="11">
        <v>0</v>
      </c>
      <c r="D27" s="11">
        <v>0</v>
      </c>
      <c r="E27" s="11">
        <v>0</v>
      </c>
      <c r="F27" s="11">
        <v>220799</v>
      </c>
      <c r="G27" s="11">
        <v>0</v>
      </c>
      <c r="H27" s="11">
        <v>0</v>
      </c>
      <c r="I27" s="11">
        <v>414143</v>
      </c>
      <c r="J27" s="11">
        <v>205266</v>
      </c>
      <c r="K27" s="11">
        <v>0</v>
      </c>
      <c r="L27" s="11">
        <v>0</v>
      </c>
      <c r="M27" s="11">
        <v>102543</v>
      </c>
      <c r="N27" s="11">
        <v>0</v>
      </c>
      <c r="O27" s="11">
        <v>0</v>
      </c>
      <c r="P27" s="11">
        <v>0</v>
      </c>
      <c r="Q27" s="11">
        <f t="shared" si="3"/>
        <v>602194</v>
      </c>
      <c r="R27" s="11">
        <f t="shared" si="0"/>
        <v>942751</v>
      </c>
      <c r="S27" s="11">
        <f t="shared" si="1"/>
        <v>709105</v>
      </c>
      <c r="T27" s="8">
        <f t="shared" si="2"/>
        <v>4.0349545894216039</v>
      </c>
    </row>
    <row r="28" spans="1:20" ht="15" x14ac:dyDescent="0.25">
      <c r="A28" s="6">
        <v>1992</v>
      </c>
      <c r="B28" s="12">
        <v>188819</v>
      </c>
      <c r="C28" s="11">
        <v>0</v>
      </c>
      <c r="D28" s="11">
        <v>385</v>
      </c>
      <c r="E28" s="11">
        <v>0</v>
      </c>
      <c r="F28" s="11">
        <v>185606</v>
      </c>
      <c r="G28" s="11">
        <v>0</v>
      </c>
      <c r="H28" s="11">
        <v>0</v>
      </c>
      <c r="I28" s="11">
        <v>452323</v>
      </c>
      <c r="J28" s="11">
        <v>122098</v>
      </c>
      <c r="K28" s="11">
        <v>0</v>
      </c>
      <c r="L28" s="11">
        <v>1492</v>
      </c>
      <c r="M28" s="11">
        <v>51762</v>
      </c>
      <c r="N28" s="11">
        <v>0</v>
      </c>
      <c r="O28" s="11">
        <v>0</v>
      </c>
      <c r="P28" s="11">
        <v>0</v>
      </c>
      <c r="Q28" s="11">
        <f t="shared" si="3"/>
        <v>883581</v>
      </c>
      <c r="R28" s="11">
        <f t="shared" si="0"/>
        <v>813666</v>
      </c>
      <c r="S28" s="11">
        <f t="shared" si="1"/>
        <v>624847</v>
      </c>
      <c r="T28" s="8">
        <f t="shared" si="2"/>
        <v>4.3092379474523224</v>
      </c>
    </row>
    <row r="29" spans="1:20" ht="15" x14ac:dyDescent="0.25">
      <c r="A29" s="6">
        <v>1993</v>
      </c>
      <c r="B29" s="12">
        <v>151801</v>
      </c>
      <c r="C29" s="11">
        <v>0</v>
      </c>
      <c r="D29" s="11">
        <v>0</v>
      </c>
      <c r="E29" s="11">
        <v>0</v>
      </c>
      <c r="F29" s="11">
        <v>145234</v>
      </c>
      <c r="G29" s="11">
        <v>0</v>
      </c>
      <c r="H29" s="11">
        <v>0</v>
      </c>
      <c r="I29" s="11">
        <v>155126</v>
      </c>
      <c r="J29" s="11">
        <v>125492</v>
      </c>
      <c r="K29" s="11">
        <v>0</v>
      </c>
      <c r="L29" s="11">
        <v>1795</v>
      </c>
      <c r="M29" s="11">
        <v>91908</v>
      </c>
      <c r="N29" s="11">
        <v>440</v>
      </c>
      <c r="O29" s="11">
        <v>0</v>
      </c>
      <c r="P29" s="11">
        <v>0</v>
      </c>
      <c r="Q29" s="11">
        <f t="shared" si="3"/>
        <v>608627</v>
      </c>
      <c r="R29" s="11">
        <f t="shared" si="0"/>
        <v>519995</v>
      </c>
      <c r="S29" s="11">
        <f t="shared" si="1"/>
        <v>368194</v>
      </c>
      <c r="T29" s="8">
        <f t="shared" si="2"/>
        <v>3.4255044433172377</v>
      </c>
    </row>
    <row r="30" spans="1:20" ht="15" x14ac:dyDescent="0.25">
      <c r="A30" s="6">
        <v>1994</v>
      </c>
      <c r="B30" s="12">
        <v>218826</v>
      </c>
      <c r="C30" s="11">
        <v>0</v>
      </c>
      <c r="D30" s="11">
        <v>0</v>
      </c>
      <c r="E30" s="11">
        <v>0</v>
      </c>
      <c r="F30" s="11">
        <v>194729</v>
      </c>
      <c r="G30" s="11">
        <v>1878</v>
      </c>
      <c r="H30" s="11">
        <v>0</v>
      </c>
      <c r="I30" s="11">
        <v>296657</v>
      </c>
      <c r="J30" s="11">
        <v>196341</v>
      </c>
      <c r="K30" s="11">
        <v>0</v>
      </c>
      <c r="L30" s="11">
        <v>0</v>
      </c>
      <c r="M30" s="11">
        <v>73731</v>
      </c>
      <c r="N30" s="11">
        <v>0</v>
      </c>
      <c r="O30" s="11">
        <v>0</v>
      </c>
      <c r="P30" s="11">
        <v>0</v>
      </c>
      <c r="Q30" s="11">
        <f t="shared" si="3"/>
        <v>611995</v>
      </c>
      <c r="R30" s="11">
        <f t="shared" si="0"/>
        <v>763336</v>
      </c>
      <c r="S30" s="11">
        <f t="shared" si="1"/>
        <v>544510</v>
      </c>
      <c r="T30" s="8">
        <f t="shared" si="2"/>
        <v>3.4883240565563507</v>
      </c>
    </row>
    <row r="31" spans="1:20" ht="15" x14ac:dyDescent="0.25">
      <c r="A31" s="6">
        <v>1995</v>
      </c>
      <c r="B31" s="12">
        <v>202428</v>
      </c>
      <c r="C31" s="11">
        <v>681</v>
      </c>
      <c r="D31" s="11">
        <v>387</v>
      </c>
      <c r="E31" s="11">
        <v>0</v>
      </c>
      <c r="F31" s="11">
        <v>236558</v>
      </c>
      <c r="G31" s="11">
        <v>372</v>
      </c>
      <c r="H31" s="11">
        <v>0</v>
      </c>
      <c r="I31" s="11">
        <v>190108</v>
      </c>
      <c r="J31" s="11">
        <v>55930</v>
      </c>
      <c r="K31" s="11">
        <v>0</v>
      </c>
      <c r="L31" s="11">
        <v>1137</v>
      </c>
      <c r="M31" s="11">
        <v>42080</v>
      </c>
      <c r="N31" s="11">
        <v>1016</v>
      </c>
      <c r="O31" s="11">
        <v>489</v>
      </c>
      <c r="P31" s="11">
        <v>0</v>
      </c>
      <c r="Q31" s="11">
        <f t="shared" si="3"/>
        <v>615866</v>
      </c>
      <c r="R31" s="11">
        <f t="shared" si="0"/>
        <v>528758</v>
      </c>
      <c r="S31" s="11">
        <f t="shared" si="1"/>
        <v>326330</v>
      </c>
      <c r="T31" s="8">
        <f t="shared" si="2"/>
        <v>2.6120793566107454</v>
      </c>
    </row>
    <row r="32" spans="1:20" ht="15" x14ac:dyDescent="0.25">
      <c r="A32" s="6">
        <v>1996</v>
      </c>
      <c r="B32" s="12">
        <v>264511</v>
      </c>
      <c r="C32" s="11">
        <v>0</v>
      </c>
      <c r="D32" s="11">
        <v>0</v>
      </c>
      <c r="E32" s="11">
        <v>0</v>
      </c>
      <c r="F32" s="11">
        <v>207479</v>
      </c>
      <c r="G32" s="11">
        <v>1197</v>
      </c>
      <c r="H32" s="11">
        <v>0</v>
      </c>
      <c r="I32" s="11">
        <v>376243</v>
      </c>
      <c r="J32" s="11">
        <v>109011</v>
      </c>
      <c r="K32" s="11">
        <v>0</v>
      </c>
      <c r="L32" s="11">
        <v>1951</v>
      </c>
      <c r="M32" s="11">
        <v>52977</v>
      </c>
      <c r="N32" s="11">
        <v>0</v>
      </c>
      <c r="O32" s="11">
        <v>0</v>
      </c>
      <c r="P32" s="11">
        <v>0</v>
      </c>
      <c r="Q32" s="11">
        <f t="shared" si="3"/>
        <v>873107</v>
      </c>
      <c r="R32" s="11">
        <f t="shared" si="0"/>
        <v>748858</v>
      </c>
      <c r="S32" s="11">
        <f t="shared" si="1"/>
        <v>484347</v>
      </c>
      <c r="T32" s="8">
        <f t="shared" si="2"/>
        <v>2.8311034323714326</v>
      </c>
    </row>
    <row r="33" spans="1:20" ht="15" x14ac:dyDescent="0.25">
      <c r="A33" s="6">
        <v>1997</v>
      </c>
      <c r="B33" s="12">
        <v>263780</v>
      </c>
      <c r="C33" s="11">
        <v>0</v>
      </c>
      <c r="D33" s="11">
        <v>401</v>
      </c>
      <c r="E33" s="11">
        <v>0</v>
      </c>
      <c r="F33" s="11">
        <v>216921</v>
      </c>
      <c r="G33" s="11">
        <v>704</v>
      </c>
      <c r="H33" s="11">
        <v>0</v>
      </c>
      <c r="I33" s="11">
        <v>278384</v>
      </c>
      <c r="J33" s="11">
        <v>118620</v>
      </c>
      <c r="K33" s="11">
        <v>0</v>
      </c>
      <c r="L33" s="11">
        <v>0</v>
      </c>
      <c r="M33" s="11">
        <v>65317</v>
      </c>
      <c r="N33" s="11">
        <v>0</v>
      </c>
      <c r="O33" s="11">
        <v>0</v>
      </c>
      <c r="P33" s="11">
        <v>0</v>
      </c>
      <c r="Q33" s="11">
        <f t="shared" si="3"/>
        <v>822198</v>
      </c>
      <c r="R33" s="11">
        <f t="shared" si="0"/>
        <v>680347</v>
      </c>
      <c r="S33" s="11">
        <f t="shared" si="1"/>
        <v>416567</v>
      </c>
      <c r="T33" s="8">
        <f t="shared" si="2"/>
        <v>2.5792213207976342</v>
      </c>
    </row>
    <row r="34" spans="1:20" ht="15" x14ac:dyDescent="0.25">
      <c r="A34" s="6">
        <v>1998</v>
      </c>
      <c r="B34" s="12">
        <v>259045</v>
      </c>
      <c r="C34" s="11">
        <v>0</v>
      </c>
      <c r="D34" s="11">
        <v>1381</v>
      </c>
      <c r="E34" s="11">
        <v>0</v>
      </c>
      <c r="F34" s="11">
        <v>206143</v>
      </c>
      <c r="G34" s="11">
        <v>4923</v>
      </c>
      <c r="H34" s="11">
        <v>0</v>
      </c>
      <c r="I34" s="11">
        <v>263290</v>
      </c>
      <c r="J34" s="11">
        <v>247723</v>
      </c>
      <c r="K34" s="11">
        <v>0</v>
      </c>
      <c r="L34" s="11">
        <v>1191</v>
      </c>
      <c r="M34" s="11">
        <v>65215</v>
      </c>
      <c r="N34" s="11">
        <v>0</v>
      </c>
      <c r="O34" s="11">
        <v>0</v>
      </c>
      <c r="P34" s="11">
        <v>0</v>
      </c>
      <c r="Q34" s="11">
        <f t="shared" si="3"/>
        <v>531547</v>
      </c>
      <c r="R34" s="11">
        <f t="shared" si="0"/>
        <v>789866</v>
      </c>
      <c r="S34" s="11">
        <f t="shared" si="1"/>
        <v>530821</v>
      </c>
      <c r="T34" s="8">
        <f t="shared" si="2"/>
        <v>3.0491459012912814</v>
      </c>
    </row>
    <row r="35" spans="1:20" ht="15" x14ac:dyDescent="0.25">
      <c r="A35" s="6">
        <v>1999</v>
      </c>
      <c r="B35" s="12">
        <v>312481</v>
      </c>
      <c r="C35" s="13">
        <v>0</v>
      </c>
      <c r="D35" s="13">
        <v>1539</v>
      </c>
      <c r="E35" s="13">
        <v>0</v>
      </c>
      <c r="F35" s="13">
        <v>278921</v>
      </c>
      <c r="G35" s="13">
        <v>1338</v>
      </c>
      <c r="H35" s="13">
        <v>0</v>
      </c>
      <c r="I35" s="13">
        <v>224140</v>
      </c>
      <c r="J35" s="13">
        <v>510723</v>
      </c>
      <c r="K35" s="13">
        <v>0</v>
      </c>
      <c r="L35" s="13">
        <v>0</v>
      </c>
      <c r="M35" s="13">
        <v>139128</v>
      </c>
      <c r="N35" s="13">
        <v>537</v>
      </c>
      <c r="O35" s="14">
        <v>0</v>
      </c>
      <c r="P35" s="14">
        <v>0</v>
      </c>
      <c r="Q35" s="11">
        <f t="shared" si="3"/>
        <v>824071</v>
      </c>
      <c r="R35" s="11">
        <f t="shared" si="0"/>
        <v>1156326</v>
      </c>
      <c r="S35" s="11">
        <f t="shared" si="1"/>
        <v>843845</v>
      </c>
      <c r="T35" s="8">
        <f t="shared" si="2"/>
        <v>3.7004681884658588</v>
      </c>
    </row>
    <row r="36" spans="1:20" ht="15" x14ac:dyDescent="0.25">
      <c r="A36" s="6">
        <v>2000</v>
      </c>
      <c r="B36" s="12">
        <v>263631</v>
      </c>
      <c r="C36" s="13">
        <v>0</v>
      </c>
      <c r="D36" s="13">
        <v>2962</v>
      </c>
      <c r="E36" s="13">
        <v>0</v>
      </c>
      <c r="F36" s="13">
        <v>613202</v>
      </c>
      <c r="G36" s="13">
        <v>1269</v>
      </c>
      <c r="H36" s="13">
        <v>0</v>
      </c>
      <c r="I36" s="13">
        <v>467639</v>
      </c>
      <c r="J36" s="13">
        <v>191201</v>
      </c>
      <c r="K36" s="13">
        <v>0</v>
      </c>
      <c r="L36" s="14">
        <v>0</v>
      </c>
      <c r="M36" s="14">
        <v>109599.18214729396</v>
      </c>
      <c r="N36" s="14">
        <v>0</v>
      </c>
      <c r="O36" s="14">
        <v>0</v>
      </c>
      <c r="P36" s="14">
        <v>0</v>
      </c>
      <c r="Q36" s="11">
        <f t="shared" si="3"/>
        <v>528846</v>
      </c>
      <c r="R36" s="11">
        <f t="shared" si="0"/>
        <v>1385872.1821472941</v>
      </c>
      <c r="S36" s="11">
        <f t="shared" si="1"/>
        <v>1122241.1821472941</v>
      </c>
      <c r="T36" s="8">
        <f t="shared" si="2"/>
        <v>5.2568635029541069</v>
      </c>
    </row>
    <row r="37" spans="1:20" ht="15" x14ac:dyDescent="0.25">
      <c r="A37" s="6">
        <v>2001</v>
      </c>
      <c r="B37" s="12">
        <v>318735</v>
      </c>
      <c r="C37" s="13">
        <v>964</v>
      </c>
      <c r="D37" s="13">
        <v>1284</v>
      </c>
      <c r="E37" s="13">
        <v>0</v>
      </c>
      <c r="F37" s="13">
        <v>419394</v>
      </c>
      <c r="G37" s="13">
        <v>1914</v>
      </c>
      <c r="H37" s="14">
        <v>0</v>
      </c>
      <c r="I37" s="14">
        <v>573938.77031850512</v>
      </c>
      <c r="J37" s="14">
        <v>515285.3486547732</v>
      </c>
      <c r="K37" s="14">
        <v>0</v>
      </c>
      <c r="L37" s="14">
        <v>0</v>
      </c>
      <c r="M37" s="14">
        <v>114216.49800804672</v>
      </c>
      <c r="N37" s="14">
        <v>0</v>
      </c>
      <c r="O37" s="14">
        <v>0</v>
      </c>
      <c r="P37" s="14">
        <v>0</v>
      </c>
      <c r="Q37" s="11">
        <f t="shared" si="3"/>
        <v>748493</v>
      </c>
      <c r="R37" s="11">
        <f t="shared" si="0"/>
        <v>1626996.6169813252</v>
      </c>
      <c r="S37" s="11">
        <f t="shared" si="1"/>
        <v>1308261.6169813252</v>
      </c>
      <c r="T37" s="8">
        <f t="shared" si="2"/>
        <v>5.1045433259018473</v>
      </c>
    </row>
    <row r="38" spans="1:20" ht="15" x14ac:dyDescent="0.25">
      <c r="A38" s="6">
        <v>2002</v>
      </c>
      <c r="B38" s="12">
        <v>235731</v>
      </c>
      <c r="C38" s="13">
        <v>0</v>
      </c>
      <c r="D38" s="13">
        <v>4738</v>
      </c>
      <c r="E38" s="14">
        <v>0</v>
      </c>
      <c r="F38" s="14">
        <v>663234.84496681497</v>
      </c>
      <c r="G38" s="14">
        <v>7707.6611801699028</v>
      </c>
      <c r="H38" s="14">
        <v>0</v>
      </c>
      <c r="I38" s="14">
        <v>292889.52022124239</v>
      </c>
      <c r="J38" s="14">
        <v>222994.11515856741</v>
      </c>
      <c r="K38" s="14">
        <v>0</v>
      </c>
      <c r="L38" s="14">
        <v>0</v>
      </c>
      <c r="M38" s="14">
        <v>58449.000937030563</v>
      </c>
      <c r="N38" s="14">
        <v>0</v>
      </c>
      <c r="O38" s="14">
        <v>0</v>
      </c>
      <c r="P38" s="14">
        <v>0</v>
      </c>
      <c r="Q38" s="11">
        <f t="shared" si="3"/>
        <v>665026</v>
      </c>
      <c r="R38" s="11">
        <f t="shared" si="0"/>
        <v>1250013.1424638254</v>
      </c>
      <c r="S38" s="11">
        <f t="shared" si="1"/>
        <v>1014282.1424638254</v>
      </c>
      <c r="T38" s="8">
        <f t="shared" si="2"/>
        <v>5.3027100485885414</v>
      </c>
    </row>
    <row r="39" spans="1:20" ht="15" x14ac:dyDescent="0.25">
      <c r="A39" s="6">
        <v>2003</v>
      </c>
      <c r="B39" s="12">
        <v>353526</v>
      </c>
      <c r="C39" s="14">
        <v>0</v>
      </c>
      <c r="D39" s="14">
        <v>10151.553749492066</v>
      </c>
      <c r="E39" s="14">
        <v>0</v>
      </c>
      <c r="F39" s="14">
        <v>517850.89015806391</v>
      </c>
      <c r="G39" s="14">
        <v>1851.5339089450331</v>
      </c>
      <c r="H39" s="14">
        <v>0</v>
      </c>
      <c r="I39" s="14">
        <v>603710.43555445049</v>
      </c>
      <c r="J39" s="14">
        <v>282319.70263924199</v>
      </c>
      <c r="K39" s="14">
        <v>0</v>
      </c>
      <c r="L39" s="14">
        <v>1988.9503382821276</v>
      </c>
      <c r="M39" s="14">
        <v>142430.94366920347</v>
      </c>
      <c r="N39" s="14">
        <v>0</v>
      </c>
      <c r="O39" s="14">
        <v>0</v>
      </c>
      <c r="P39" s="14">
        <v>0</v>
      </c>
      <c r="Q39" s="11">
        <f t="shared" si="3"/>
        <v>859551</v>
      </c>
      <c r="R39" s="11">
        <f t="shared" si="0"/>
        <v>1560304.0100176791</v>
      </c>
      <c r="S39" s="11">
        <f t="shared" si="1"/>
        <v>1206778.0100176791</v>
      </c>
      <c r="T39" s="8">
        <f t="shared" si="2"/>
        <v>4.4135481124943539</v>
      </c>
    </row>
    <row r="40" spans="1:20" ht="15" x14ac:dyDescent="0.25">
      <c r="A40" s="6">
        <v>2004</v>
      </c>
      <c r="B40" s="12">
        <v>523653</v>
      </c>
      <c r="C40" s="14">
        <v>0</v>
      </c>
      <c r="D40" s="14">
        <v>7406.1356357801324</v>
      </c>
      <c r="E40" s="14">
        <v>0</v>
      </c>
      <c r="F40" s="14">
        <v>622458.22830783762</v>
      </c>
      <c r="G40" s="14">
        <v>2835.8005845459575</v>
      </c>
      <c r="H40" s="14">
        <v>0</v>
      </c>
      <c r="I40" s="14">
        <v>501436.47972912749</v>
      </c>
      <c r="J40" s="14">
        <v>298674.04246536613</v>
      </c>
      <c r="K40" s="14">
        <v>0</v>
      </c>
      <c r="L40" s="14">
        <v>0</v>
      </c>
      <c r="M40" s="14">
        <v>58285.990275372911</v>
      </c>
      <c r="N40" s="14">
        <v>0</v>
      </c>
      <c r="O40" s="15">
        <v>0</v>
      </c>
      <c r="P40" s="15">
        <v>0</v>
      </c>
      <c r="Q40" s="11">
        <f t="shared" si="3"/>
        <v>1417988</v>
      </c>
      <c r="R40" s="11">
        <f t="shared" si="0"/>
        <v>1491096.6769980304</v>
      </c>
      <c r="S40" s="11">
        <f t="shared" si="1"/>
        <v>967443.67699803039</v>
      </c>
      <c r="T40" s="8">
        <f t="shared" si="2"/>
        <v>2.8474899924148822</v>
      </c>
    </row>
    <row r="41" spans="1:20" ht="15" x14ac:dyDescent="0.25">
      <c r="A41" s="6">
        <v>2005</v>
      </c>
      <c r="B41" s="12">
        <v>360065</v>
      </c>
      <c r="C41" s="14">
        <v>0</v>
      </c>
      <c r="D41" s="14">
        <v>5671.6011690919149</v>
      </c>
      <c r="E41" s="14">
        <v>0</v>
      </c>
      <c r="F41" s="14">
        <v>128287.29681919722</v>
      </c>
      <c r="G41" s="14">
        <v>24088.398541416878</v>
      </c>
      <c r="H41" s="14">
        <v>0</v>
      </c>
      <c r="I41" s="14">
        <v>255737.9685677879</v>
      </c>
      <c r="J41" s="14">
        <v>255737.9685677879</v>
      </c>
      <c r="K41" s="14">
        <v>0</v>
      </c>
      <c r="L41" s="15">
        <v>0</v>
      </c>
      <c r="M41" s="15">
        <v>209154.91439309015</v>
      </c>
      <c r="N41" s="15">
        <v>0</v>
      </c>
      <c r="O41" s="15">
        <v>0</v>
      </c>
      <c r="P41" s="15">
        <v>0</v>
      </c>
      <c r="Q41" s="11">
        <f t="shared" si="3"/>
        <v>1224551</v>
      </c>
      <c r="R41" s="11">
        <f t="shared" si="0"/>
        <v>878678.14805837197</v>
      </c>
      <c r="S41" s="11">
        <f t="shared" si="1"/>
        <v>518613.14805837197</v>
      </c>
      <c r="T41" s="8">
        <f t="shared" si="2"/>
        <v>2.4403320179922292</v>
      </c>
    </row>
    <row r="42" spans="1:20" ht="15" x14ac:dyDescent="0.25">
      <c r="A42" s="6">
        <v>2006</v>
      </c>
      <c r="B42" s="12">
        <v>389645</v>
      </c>
      <c r="C42" s="14">
        <v>0</v>
      </c>
      <c r="D42" s="14">
        <v>8066.2985941441839</v>
      </c>
      <c r="E42" s="14">
        <v>0</v>
      </c>
      <c r="F42" s="14">
        <v>226513.11108420906</v>
      </c>
      <c r="G42" s="14">
        <v>12033.76484617952</v>
      </c>
      <c r="H42" s="15">
        <v>0</v>
      </c>
      <c r="I42" s="15">
        <v>249074.91934693974</v>
      </c>
      <c r="J42" s="15">
        <v>207535.44157548976</v>
      </c>
      <c r="K42" s="15">
        <v>0</v>
      </c>
      <c r="L42" s="15">
        <v>0</v>
      </c>
      <c r="M42" s="15">
        <v>41423.918678668197</v>
      </c>
      <c r="N42" s="15">
        <v>0</v>
      </c>
      <c r="O42" s="15">
        <v>0</v>
      </c>
      <c r="P42" s="15">
        <v>0</v>
      </c>
      <c r="Q42" s="11">
        <f t="shared" si="3"/>
        <v>1879917.3610170491</v>
      </c>
      <c r="R42" s="13">
        <f>SUM(C42:P42)</f>
        <v>744647.45412563055</v>
      </c>
      <c r="S42" s="11">
        <f t="shared" si="1"/>
        <v>355002.45412563055</v>
      </c>
      <c r="T42" s="8">
        <f t="shared" si="2"/>
        <v>1.9110920302470982</v>
      </c>
    </row>
    <row r="43" spans="1:20" ht="13.5" customHeight="1" x14ac:dyDescent="0.25">
      <c r="A43" s="6">
        <v>2007</v>
      </c>
      <c r="B43" s="12">
        <v>365184</v>
      </c>
      <c r="C43" s="14">
        <v>1719.1092637399313</v>
      </c>
      <c r="D43" s="14">
        <v>8595.5463186996585</v>
      </c>
      <c r="E43" s="15">
        <v>0</v>
      </c>
      <c r="F43" s="15">
        <v>110448.04616034649</v>
      </c>
      <c r="G43" s="15">
        <v>21781.909396725227</v>
      </c>
      <c r="H43" s="15">
        <v>0</v>
      </c>
      <c r="I43" s="15">
        <v>66847.453501301192</v>
      </c>
      <c r="J43" s="15">
        <v>237981.99387454722</v>
      </c>
      <c r="K43" s="15">
        <v>0</v>
      </c>
      <c r="L43" s="15">
        <v>0</v>
      </c>
      <c r="M43" s="15">
        <v>37013.321640087735</v>
      </c>
      <c r="N43" s="15">
        <v>0</v>
      </c>
      <c r="O43" s="15">
        <v>0</v>
      </c>
      <c r="P43" s="15">
        <v>0</v>
      </c>
      <c r="Q43" s="11">
        <f t="shared" si="3"/>
        <v>1157208.6930906456</v>
      </c>
      <c r="R43" s="13">
        <f>SUM(C43:P43)</f>
        <v>484387.38015544752</v>
      </c>
      <c r="S43" s="11">
        <f t="shared" si="1"/>
        <v>119203.38015544752</v>
      </c>
      <c r="T43" s="8">
        <f t="shared" si="2"/>
        <v>1.3264200516874987</v>
      </c>
    </row>
    <row r="44" spans="1:20" ht="15" x14ac:dyDescent="0.25">
      <c r="A44" s="6">
        <v>2008</v>
      </c>
      <c r="B44" s="12">
        <v>327018</v>
      </c>
      <c r="C44" s="15">
        <v>0</v>
      </c>
      <c r="D44" s="15">
        <v>11741.177927602817</v>
      </c>
      <c r="E44" s="15">
        <v>0</v>
      </c>
      <c r="F44" s="15">
        <v>215277.89188120081</v>
      </c>
      <c r="G44" s="15">
        <v>28079.725027982717</v>
      </c>
      <c r="H44" s="15">
        <v>0</v>
      </c>
      <c r="I44" s="15">
        <v>268221.19800974149</v>
      </c>
      <c r="J44" s="15">
        <v>318775.97878644668</v>
      </c>
      <c r="K44" s="15">
        <v>0</v>
      </c>
      <c r="L44" s="15">
        <v>0</v>
      </c>
      <c r="M44" s="15">
        <v>31543.90090948877</v>
      </c>
      <c r="N44" s="15">
        <v>0</v>
      </c>
      <c r="O44" s="15">
        <v>0</v>
      </c>
      <c r="P44" s="15">
        <v>0</v>
      </c>
      <c r="Q44" s="11">
        <f t="shared" si="3"/>
        <v>1575444.7691921985</v>
      </c>
      <c r="R44" s="13">
        <f>SUM(C44:P44)</f>
        <v>873639.87254246324</v>
      </c>
      <c r="S44" s="11">
        <f t="shared" si="1"/>
        <v>546621.87254246324</v>
      </c>
      <c r="T44" s="8">
        <f t="shared" si="2"/>
        <v>2.6715345104626143</v>
      </c>
    </row>
    <row r="45" spans="1:20" ht="15" x14ac:dyDescent="0.25">
      <c r="A45" s="6">
        <v>2009</v>
      </c>
      <c r="B45" s="12">
        <v>326285</v>
      </c>
      <c r="C45" s="15">
        <v>0</v>
      </c>
      <c r="D45" s="15">
        <v>42815.25640527995</v>
      </c>
      <c r="E45" s="15">
        <v>0</v>
      </c>
      <c r="F45" s="15">
        <v>346059.51126911293</v>
      </c>
      <c r="G45" s="15">
        <v>11635.624147019449</v>
      </c>
      <c r="H45" s="15">
        <v>0</v>
      </c>
      <c r="I45" s="15">
        <v>324152.18452093529</v>
      </c>
      <c r="J45" s="15">
        <v>227314.61459600122</v>
      </c>
      <c r="K45" s="15">
        <v>0</v>
      </c>
      <c r="L45" s="15">
        <v>0</v>
      </c>
      <c r="M45" s="15">
        <v>83652.791500724052</v>
      </c>
      <c r="N45" s="15">
        <v>0</v>
      </c>
      <c r="O45" s="15">
        <v>0</v>
      </c>
      <c r="P45" s="15">
        <v>0</v>
      </c>
      <c r="Q45" s="11">
        <f t="shared" si="3"/>
        <v>1104972.4101567375</v>
      </c>
      <c r="R45" s="13">
        <f>SUM(C45:P45)</f>
        <v>1035629.9824390729</v>
      </c>
      <c r="S45" s="11">
        <f t="shared" si="1"/>
        <v>709344.98243907292</v>
      </c>
      <c r="T45" s="8">
        <f t="shared" si="2"/>
        <v>3.174004267554662</v>
      </c>
    </row>
    <row r="46" spans="1:20" ht="15" x14ac:dyDescent="0.25">
      <c r="A46" s="6">
        <v>2010</v>
      </c>
      <c r="B46" s="12">
        <v>295265</v>
      </c>
      <c r="C46" s="15">
        <v>1905.8349895980134</v>
      </c>
      <c r="D46" s="15">
        <v>19459.578314842875</v>
      </c>
      <c r="E46" s="15">
        <v>0</v>
      </c>
      <c r="F46" s="15">
        <v>467312.96557169204</v>
      </c>
      <c r="G46" s="15">
        <v>29448.327072844411</v>
      </c>
      <c r="H46" s="15">
        <v>0</v>
      </c>
      <c r="I46" s="15">
        <v>409452.21682587545</v>
      </c>
      <c r="J46" s="15">
        <v>415209.22073533537</v>
      </c>
      <c r="K46" s="15">
        <v>0</v>
      </c>
      <c r="L46" s="15">
        <v>719.75335638900765</v>
      </c>
      <c r="M46" s="15">
        <v>32517.750247606</v>
      </c>
      <c r="N46" s="15">
        <v>639.36020153678305</v>
      </c>
      <c r="O46" s="15">
        <v>928.01954066690098</v>
      </c>
      <c r="P46" s="15">
        <v>0</v>
      </c>
      <c r="Q46" s="11">
        <f t="shared" si="3"/>
        <v>818623.45892377687</v>
      </c>
      <c r="R46" s="13">
        <f t="shared" ref="R46:R53" si="4">SUM(C46:P46)</f>
        <v>1377593.0268563868</v>
      </c>
      <c r="S46" s="11">
        <f t="shared" si="1"/>
        <v>1082328.0268563868</v>
      </c>
      <c r="T46" s="8">
        <f t="shared" si="2"/>
        <v>4.6656157243709444</v>
      </c>
    </row>
    <row r="47" spans="1:20" ht="15" x14ac:dyDescent="0.25">
      <c r="A47" s="6">
        <v>2011</v>
      </c>
      <c r="B47" s="12">
        <v>245721</v>
      </c>
      <c r="C47" s="15">
        <v>4191.1476732887177</v>
      </c>
      <c r="D47" s="15">
        <v>18970.457889622616</v>
      </c>
      <c r="E47" s="15">
        <v>0</v>
      </c>
      <c r="F47" s="15">
        <v>246611.24910115139</v>
      </c>
      <c r="G47" s="15">
        <v>12218.947073139469</v>
      </c>
      <c r="H47" s="15">
        <v>0</v>
      </c>
      <c r="I47" s="15">
        <v>97688.404891731989</v>
      </c>
      <c r="J47" s="15">
        <v>188641.0346146427</v>
      </c>
      <c r="K47" s="15">
        <v>0</v>
      </c>
      <c r="L47" s="15">
        <v>954</v>
      </c>
      <c r="M47" s="15">
        <v>117098</v>
      </c>
      <c r="N47" s="15">
        <v>0</v>
      </c>
      <c r="O47" s="15">
        <v>0</v>
      </c>
      <c r="P47" s="15">
        <v>0</v>
      </c>
      <c r="Q47" s="11">
        <f t="shared" si="3"/>
        <v>809736.40880019416</v>
      </c>
      <c r="R47" s="13">
        <f t="shared" si="4"/>
        <v>686373.24124357686</v>
      </c>
      <c r="S47" s="11">
        <f t="shared" si="1"/>
        <v>440652.24124357686</v>
      </c>
      <c r="T47" s="8">
        <f t="shared" si="2"/>
        <v>2.7933031415449916</v>
      </c>
    </row>
    <row r="48" spans="1:20" ht="15" x14ac:dyDescent="0.25">
      <c r="A48" s="6">
        <v>2012</v>
      </c>
      <c r="B48" s="12">
        <v>374523</v>
      </c>
      <c r="C48" s="15">
        <v>2232.3076383620182</v>
      </c>
      <c r="D48" s="15">
        <v>5522.0241580534139</v>
      </c>
      <c r="E48" s="15">
        <v>0</v>
      </c>
      <c r="F48" s="15">
        <v>143497.01820703465</v>
      </c>
      <c r="G48" s="15">
        <v>9406.1020196721911</v>
      </c>
      <c r="H48" s="15">
        <v>0</v>
      </c>
      <c r="I48" s="15">
        <v>152743</v>
      </c>
      <c r="J48" s="15">
        <v>191458</v>
      </c>
      <c r="K48" s="15">
        <v>0</v>
      </c>
      <c r="L48" s="14">
        <v>0</v>
      </c>
      <c r="M48" s="14">
        <v>4671.2617997240695</v>
      </c>
      <c r="N48" s="15">
        <v>0</v>
      </c>
      <c r="O48" s="15">
        <v>0</v>
      </c>
      <c r="P48" s="15">
        <v>0</v>
      </c>
      <c r="Q48" s="11">
        <f t="shared" si="3"/>
        <v>632426.23936898017</v>
      </c>
      <c r="R48" s="13">
        <f t="shared" si="4"/>
        <v>509529.71382284636</v>
      </c>
      <c r="S48" s="11">
        <f t="shared" si="1"/>
        <v>135006.71382284636</v>
      </c>
      <c r="T48" s="8">
        <f t="shared" si="2"/>
        <v>1.3604764295459728</v>
      </c>
    </row>
    <row r="49" spans="1:20" ht="15" x14ac:dyDescent="0.25">
      <c r="A49" s="6">
        <v>2013</v>
      </c>
      <c r="B49" s="12">
        <v>489654</v>
      </c>
      <c r="C49" s="15">
        <v>0</v>
      </c>
      <c r="D49" s="15">
        <v>7664.0974406954465</v>
      </c>
      <c r="E49" s="15">
        <v>0</v>
      </c>
      <c r="F49" s="15">
        <v>284613</v>
      </c>
      <c r="G49" s="15">
        <v>32073</v>
      </c>
      <c r="H49" s="14">
        <v>0</v>
      </c>
      <c r="I49" s="15">
        <v>74532.543445080926</v>
      </c>
      <c r="J49" s="15">
        <v>247799.26132912291</v>
      </c>
      <c r="K49" s="14">
        <v>0</v>
      </c>
      <c r="L49" s="15">
        <v>0</v>
      </c>
      <c r="M49" s="15">
        <v>3169.7000856782565</v>
      </c>
      <c r="N49" s="15">
        <v>0</v>
      </c>
      <c r="O49" s="15">
        <v>0</v>
      </c>
      <c r="P49" s="15">
        <v>0</v>
      </c>
      <c r="Q49" s="11">
        <f t="shared" si="3"/>
        <v>1003071.0471568492</v>
      </c>
      <c r="R49" s="13">
        <f t="shared" si="4"/>
        <v>649851.60230057756</v>
      </c>
      <c r="S49" s="11">
        <f t="shared" si="1"/>
        <v>160197.60230057756</v>
      </c>
      <c r="T49" s="8">
        <f t="shared" si="2"/>
        <v>1.3271649007269981</v>
      </c>
    </row>
    <row r="50" spans="1:20" ht="15" x14ac:dyDescent="0.25">
      <c r="A50" s="6">
        <v>2014</v>
      </c>
      <c r="B50" s="12">
        <v>440192</v>
      </c>
      <c r="C50" s="15">
        <v>0</v>
      </c>
      <c r="D50" s="15">
        <v>22034</v>
      </c>
      <c r="E50" s="14">
        <v>0</v>
      </c>
      <c r="F50" s="14">
        <v>376236.04768538859</v>
      </c>
      <c r="G50" s="14">
        <v>9182.2162370188416</v>
      </c>
      <c r="H50" s="15">
        <v>0</v>
      </c>
      <c r="I50" s="15">
        <v>195978.37056283792</v>
      </c>
      <c r="J50" s="15">
        <v>81836.772083764707</v>
      </c>
      <c r="K50" s="15">
        <v>0</v>
      </c>
      <c r="L50" s="15">
        <v>2913.1955666528593</v>
      </c>
      <c r="M50" s="14">
        <v>12070.580612287258</v>
      </c>
      <c r="N50" s="15">
        <v>0</v>
      </c>
      <c r="O50" s="15">
        <v>0</v>
      </c>
      <c r="P50" s="15">
        <v>0</v>
      </c>
      <c r="Q50" s="11">
        <f t="shared" si="3"/>
        <v>1102933.598233873</v>
      </c>
      <c r="R50" s="13">
        <f t="shared" si="4"/>
        <v>700251.18274795008</v>
      </c>
      <c r="S50" s="11">
        <f t="shared" si="1"/>
        <v>260059.18274795008</v>
      </c>
      <c r="T50" s="8">
        <f t="shared" si="2"/>
        <v>1.5907857997145565</v>
      </c>
    </row>
    <row r="51" spans="1:20" ht="15" x14ac:dyDescent="0.25">
      <c r="A51" s="6">
        <v>2015</v>
      </c>
      <c r="B51" s="12">
        <v>470677</v>
      </c>
      <c r="C51" s="15">
        <v>0</v>
      </c>
      <c r="D51" s="15">
        <v>4743.0328259141588</v>
      </c>
      <c r="E51" s="14">
        <v>0</v>
      </c>
      <c r="F51" s="14">
        <v>317072.92452731595</v>
      </c>
      <c r="G51" s="14">
        <v>5802.5759382164397</v>
      </c>
      <c r="H51" s="14">
        <v>0</v>
      </c>
      <c r="I51" s="14">
        <v>434680.03074873553</v>
      </c>
      <c r="J51" s="14">
        <v>34299.649633550282</v>
      </c>
      <c r="K51" s="14">
        <v>0</v>
      </c>
      <c r="L51" s="14">
        <v>0</v>
      </c>
      <c r="M51" s="14">
        <v>24047.988016299478</v>
      </c>
      <c r="N51" s="14">
        <v>0</v>
      </c>
      <c r="O51" s="14">
        <v>0</v>
      </c>
      <c r="P51" s="14">
        <v>0</v>
      </c>
      <c r="Q51" s="11">
        <f t="shared" si="3"/>
        <v>1174898.7570326412</v>
      </c>
      <c r="R51" s="13">
        <f t="shared" si="4"/>
        <v>820646.2016900318</v>
      </c>
      <c r="S51" s="11">
        <f t="shared" si="1"/>
        <v>349969.2016900318</v>
      </c>
      <c r="T51" s="8">
        <f t="shared" si="2"/>
        <v>1.7435443025472497</v>
      </c>
    </row>
    <row r="52" spans="1:20" ht="15" x14ac:dyDescent="0.25">
      <c r="A52" s="6">
        <v>2016</v>
      </c>
      <c r="B52" s="12">
        <v>239981</v>
      </c>
      <c r="C52" s="15">
        <v>0</v>
      </c>
      <c r="D52" s="15">
        <v>9391.3693404129663</v>
      </c>
      <c r="E52" s="14">
        <v>825.00564145258795</v>
      </c>
      <c r="F52" s="14">
        <v>359784.82343263744</v>
      </c>
      <c r="G52" s="14">
        <v>0</v>
      </c>
      <c r="H52" s="14">
        <v>0</v>
      </c>
      <c r="I52" s="14">
        <v>234081.42182635632</v>
      </c>
      <c r="J52" s="14">
        <v>52526.171476252508</v>
      </c>
      <c r="K52" s="14">
        <v>0</v>
      </c>
      <c r="L52" s="14">
        <v>357.88743239850976</v>
      </c>
      <c r="M52" s="14">
        <v>6517.4305059816506</v>
      </c>
      <c r="N52" s="14">
        <v>0</v>
      </c>
      <c r="O52" s="16">
        <v>0</v>
      </c>
      <c r="P52" s="16">
        <v>0</v>
      </c>
      <c r="Q52" s="11">
        <f t="shared" si="3"/>
        <v>480773.52097930881</v>
      </c>
      <c r="R52" s="13">
        <f t="shared" si="4"/>
        <v>663484.10965549201</v>
      </c>
      <c r="S52" s="11">
        <f t="shared" si="1"/>
        <v>423503.10965549201</v>
      </c>
      <c r="T52" s="8">
        <f t="shared" si="2"/>
        <v>2.7647359984977644</v>
      </c>
    </row>
    <row r="53" spans="1:20" ht="15" x14ac:dyDescent="0.25">
      <c r="A53" s="6">
        <v>2017</v>
      </c>
      <c r="B53" s="12">
        <v>358724</v>
      </c>
      <c r="C53" s="15">
        <v>95.52782731878726</v>
      </c>
      <c r="D53" s="15">
        <v>331.38480081935523</v>
      </c>
      <c r="E53" s="14">
        <v>509.03268154075943</v>
      </c>
      <c r="F53" s="14">
        <v>594827.7595080575</v>
      </c>
      <c r="G53" s="14">
        <v>10763.358269709919</v>
      </c>
      <c r="H53" s="14">
        <v>0</v>
      </c>
      <c r="I53" s="14">
        <v>214644.79382216398</v>
      </c>
      <c r="J53" s="14">
        <v>255085.65019236095</v>
      </c>
      <c r="K53" s="14">
        <v>0</v>
      </c>
      <c r="L53" s="16">
        <v>3716</v>
      </c>
      <c r="M53" s="16">
        <v>53595</v>
      </c>
      <c r="N53" s="16">
        <v>0</v>
      </c>
      <c r="O53" s="17">
        <v>83</v>
      </c>
      <c r="P53" s="17">
        <v>0</v>
      </c>
      <c r="Q53" s="11">
        <f>SUM(O46:P46,L47:N47,H48:K48,E49:G49,C50:D50)</f>
        <v>801901.01954066684</v>
      </c>
      <c r="R53" s="13">
        <f t="shared" si="4"/>
        <v>1133651.5071019712</v>
      </c>
      <c r="S53" s="11">
        <f t="shared" si="1"/>
        <v>774927.50710197119</v>
      </c>
      <c r="T53" s="8">
        <f t="shared" si="2"/>
        <v>3.1602332353061717</v>
      </c>
    </row>
    <row r="54" spans="1:20" ht="15" x14ac:dyDescent="0.25">
      <c r="A54" s="6">
        <v>2018</v>
      </c>
      <c r="B54" s="12">
        <v>394309</v>
      </c>
      <c r="C54" s="15">
        <v>0</v>
      </c>
      <c r="D54" s="15">
        <v>8717.9239260529903</v>
      </c>
      <c r="E54" s="14">
        <v>1306.7706418548105</v>
      </c>
      <c r="F54" s="14">
        <v>963460.59137446899</v>
      </c>
      <c r="G54" s="14">
        <v>4002.3440594461144</v>
      </c>
      <c r="H54" s="16">
        <v>0</v>
      </c>
      <c r="I54" s="16">
        <v>527019</v>
      </c>
      <c r="J54" s="16">
        <v>209478</v>
      </c>
      <c r="K54" s="16">
        <v>0</v>
      </c>
      <c r="L54" s="17">
        <v>2332</v>
      </c>
      <c r="M54" s="17">
        <v>12698</v>
      </c>
      <c r="N54" s="17"/>
      <c r="O54" s="19"/>
      <c r="P54" s="19"/>
      <c r="Q54" s="11">
        <f t="shared" si="3"/>
        <v>717164.3633222495</v>
      </c>
      <c r="R54" s="13">
        <f>SUM(C54:N54)</f>
        <v>1729014.630001823</v>
      </c>
      <c r="S54" s="11"/>
      <c r="T54" s="8">
        <f t="shared" si="2"/>
        <v>4.3849230679538707</v>
      </c>
    </row>
    <row r="55" spans="1:20" ht="15" x14ac:dyDescent="0.25">
      <c r="A55" s="6">
        <v>2019</v>
      </c>
      <c r="B55" s="12">
        <v>378416</v>
      </c>
      <c r="C55" s="15">
        <v>2335.6288144123878</v>
      </c>
      <c r="D55" s="15">
        <v>1950.9363713908908</v>
      </c>
      <c r="E55" s="16">
        <v>0</v>
      </c>
      <c r="F55" s="16">
        <v>477352</v>
      </c>
      <c r="G55" s="16">
        <v>13673</v>
      </c>
      <c r="H55" s="17">
        <v>1</v>
      </c>
      <c r="I55" s="17">
        <v>574012</v>
      </c>
      <c r="J55" s="17">
        <v>134887</v>
      </c>
      <c r="K55" s="17"/>
      <c r="L55" s="19"/>
      <c r="M55" s="19"/>
      <c r="N55" s="19"/>
      <c r="O55" s="13"/>
      <c r="P55" s="13"/>
      <c r="Q55" s="11">
        <f t="shared" si="3"/>
        <v>613251.71253822627</v>
      </c>
      <c r="R55" s="13"/>
      <c r="S55" s="11"/>
      <c r="T55" s="8">
        <f t="shared" si="2"/>
        <v>0</v>
      </c>
    </row>
    <row r="56" spans="1:20" ht="15" x14ac:dyDescent="0.25">
      <c r="A56" s="6">
        <v>2020</v>
      </c>
      <c r="B56" s="12">
        <v>545654</v>
      </c>
      <c r="C56" s="16">
        <v>0</v>
      </c>
      <c r="D56" s="16">
        <v>21201</v>
      </c>
      <c r="E56" s="17">
        <v>45</v>
      </c>
      <c r="F56" s="17">
        <v>619142</v>
      </c>
      <c r="G56" s="17">
        <v>9148</v>
      </c>
      <c r="H56" s="19"/>
      <c r="I56" s="19"/>
      <c r="J56" s="19"/>
      <c r="K56" s="19"/>
      <c r="L56" s="13"/>
      <c r="M56" s="13"/>
      <c r="N56" s="13"/>
      <c r="O56" s="13"/>
      <c r="P56" s="13"/>
      <c r="Q56" s="11">
        <f t="shared" si="3"/>
        <v>845000.19826345402</v>
      </c>
      <c r="R56" s="13"/>
      <c r="S56" s="11"/>
      <c r="T56" s="8">
        <f t="shared" si="2"/>
        <v>0</v>
      </c>
    </row>
    <row r="57" spans="1:20" ht="15" x14ac:dyDescent="0.25">
      <c r="A57" s="6">
        <v>2021</v>
      </c>
      <c r="B57" s="12">
        <v>521859</v>
      </c>
      <c r="C57" s="17">
        <v>4001</v>
      </c>
      <c r="D57" s="17">
        <v>17915</v>
      </c>
      <c r="E57" s="19"/>
      <c r="F57" s="19"/>
      <c r="G57" s="19"/>
      <c r="H57" s="13"/>
      <c r="I57" s="13"/>
      <c r="J57" s="13"/>
      <c r="K57" s="13"/>
      <c r="L57" s="13"/>
      <c r="M57" s="13"/>
      <c r="N57" s="13"/>
      <c r="O57" s="13"/>
      <c r="P57" s="13"/>
      <c r="Q57" s="11">
        <f t="shared" si="3"/>
        <v>925473.65570426953</v>
      </c>
      <c r="R57" s="13"/>
      <c r="S57" s="11"/>
      <c r="T57" s="8">
        <f t="shared" si="2"/>
        <v>0</v>
      </c>
    </row>
    <row r="58" spans="1:20" ht="15" x14ac:dyDescent="0.25">
      <c r="A58" s="6">
        <v>2022</v>
      </c>
      <c r="B58" s="12">
        <v>968148</v>
      </c>
      <c r="C58" s="19"/>
      <c r="D58" s="19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f t="shared" si="3"/>
        <v>1449662.0332144783</v>
      </c>
      <c r="R58" s="13"/>
      <c r="S58" s="11"/>
      <c r="T58" s="8">
        <f t="shared" si="2"/>
        <v>0</v>
      </c>
    </row>
    <row r="59" spans="1:20" ht="15" x14ac:dyDescent="0.25">
      <c r="A59" s="6">
        <v>2023</v>
      </c>
      <c r="B59" s="11">
        <v>933145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f>SUM(O52:P52,L53:N53,H54:K54,E55:G55,C56:D56)</f>
        <v>1306034</v>
      </c>
      <c r="R59" s="13"/>
      <c r="S59" s="11"/>
      <c r="T59" s="8">
        <f t="shared" si="2"/>
        <v>0</v>
      </c>
    </row>
    <row r="60" spans="1:20" ht="15" x14ac:dyDescent="0.25">
      <c r="A60" s="6">
        <v>2024</v>
      </c>
      <c r="B60" s="12">
        <v>1048092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f>SUM(O53:P53,L54:N54,H55:K55,E56:G56,C57:D57)</f>
        <v>1374264</v>
      </c>
      <c r="R60" s="13"/>
      <c r="S60" s="11"/>
      <c r="T60" s="7">
        <f t="shared" si="2"/>
        <v>0</v>
      </c>
    </row>
    <row r="61" spans="1:20" ht="15" x14ac:dyDescent="0.25">
      <c r="A61" s="6">
        <v>2025</v>
      </c>
      <c r="B61" s="12">
        <v>1197471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6"/>
    </row>
    <row r="62" spans="1:20" ht="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5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5" x14ac:dyDescent="0.25">
      <c r="A64" s="9"/>
      <c r="B64" s="6" t="s">
        <v>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5" x14ac:dyDescent="0.25">
      <c r="A65" s="4"/>
      <c r="B65" s="6" t="s">
        <v>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</sheetData>
  <mergeCells count="1">
    <mergeCell ref="C2:P2"/>
  </mergeCells>
  <phoneticPr fontId="2" type="noConversion"/>
  <printOptions gridLines="1"/>
  <pageMargins left="0.25" right="0.17" top="0.65" bottom="0.26" header="0.5" footer="0.17"/>
  <pageSetup scale="48" orientation="landscape" r:id="rId1"/>
  <headerFooter alignWithMargins="0"/>
  <ignoredErrors>
    <ignoredError sqref="Q11:Q60 R4:R54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Kasilof River sockeye</vt:lpstr>
    </vt:vector>
  </TitlesOfParts>
  <Company>SOA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TMWILLETTE</dc:creator>
  <cp:lastModifiedBy>Munro, Andrew R (DFG)</cp:lastModifiedBy>
  <cp:lastPrinted>2012-11-15T21:51:52Z</cp:lastPrinted>
  <dcterms:created xsi:type="dcterms:W3CDTF">2006-12-07T00:52:46Z</dcterms:created>
  <dcterms:modified xsi:type="dcterms:W3CDTF">2026-06-26T22:18:19Z</dcterms:modified>
</cp:coreProperties>
</file>